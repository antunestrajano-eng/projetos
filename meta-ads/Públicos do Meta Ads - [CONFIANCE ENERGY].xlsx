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olvimento IG" sheetId="1" r:id="rId4"/>
    <sheet state="visible" name="Envolvimento FB" sheetId="2" r:id="rId5"/>
    <sheet state="visible" name="Lista" sheetId="3" r:id="rId6"/>
    <sheet state="hidden" name="Lookalike" sheetId="4" r:id="rId7"/>
    <sheet state="hidden" name="Formulário" sheetId="5" r:id="rId8"/>
    <sheet state="visible" name="View Site" sheetId="6" r:id="rId9"/>
    <sheet state="hidden" name="View Vídeo FBIG" sheetId="7" r:id="rId10"/>
    <sheet state="hidden" name="EI" sheetId="8" r:id="rId11"/>
  </sheets>
  <definedNames/>
  <calcPr/>
  <extLst>
    <ext uri="GoogleSheetsCustomDataVersion2">
      <go:sheetsCustomData xmlns:go="http://customooxmlschemas.google.com/" r:id="rId12" roundtripDataChecksum="lqTghnxS4VZFlfypwTmM8nl0NPqfEMruJMuXyrMYY7Q="/>
    </ext>
  </extLst>
</workbook>
</file>

<file path=xl/sharedStrings.xml><?xml version="1.0" encoding="utf-8"?>
<sst xmlns="http://schemas.openxmlformats.org/spreadsheetml/2006/main" count="1247" uniqueCount="927">
  <si>
    <t>PÚBLICOS DO FACEBOOK E INSTAGRAM</t>
  </si>
  <si>
    <t>Envolvimento Instagram</t>
  </si>
  <si>
    <t>Envolvimento Facebook</t>
  </si>
  <si>
    <t>Envolvimento TODOS</t>
  </si>
  <si>
    <t>Nº</t>
  </si>
  <si>
    <t>Nomenclatura do Público</t>
  </si>
  <si>
    <t>Descrição do Público</t>
  </si>
  <si>
    <t>Status</t>
  </si>
  <si>
    <t>Lista</t>
  </si>
  <si>
    <t>[IG] [ENVOLVIMENTO] [TODOS] - 7D</t>
  </si>
  <si>
    <t>[FB] [ENVOLVIMENTO] [TODOS] - 7D</t>
  </si>
  <si>
    <t>Qualquer pessoa que se envolveu com meu perfil no Instagram nos últimos 7 dias</t>
  </si>
  <si>
    <t>Qualquer pessoa que se envolveu com minha Página no Facebook nos últimos 7 dias</t>
  </si>
  <si>
    <t>Lista LEADS</t>
  </si>
  <si>
    <t>Lookalike</t>
  </si>
  <si>
    <t>[FB] [ENVOLVIMENTO] [TODOS] - 14D</t>
  </si>
  <si>
    <t>[IG] [ENVOLVIMENTO] [TODOS] - 14D</t>
  </si>
  <si>
    <t>Qualquer pessoa que se envolveu com minha Página no Facebook nos últimos 30 dias</t>
  </si>
  <si>
    <t>Qualquer pessoa que se envolveu com meu perfil no Instagram nos últimos 14 dias</t>
  </si>
  <si>
    <t>[FB] [ENVOLVIMENTO] [TODOS] - 30D</t>
  </si>
  <si>
    <t>Qualquer pessoa que se envolveu com minha Página no Facebook nos últimos 90 dias</t>
  </si>
  <si>
    <t>Lookalike ENVOLVIMENTO FACEBOOK</t>
  </si>
  <si>
    <t>[IG] [ENVOLVIMENTO] [TODOS] - 30D</t>
  </si>
  <si>
    <t>[FB] [ENVOLVIMENTO] [TODOS] - 60D</t>
  </si>
  <si>
    <t>Qualquer pessoa que se envolveu com meu perfil no Instagram nos últimos 30 dias</t>
  </si>
  <si>
    <t>Qualquer pessoa que se envolveu com minha Página no Facebook nos últimos 180 dias</t>
  </si>
  <si>
    <t>[IG] [ENVOLVIMENTO] [TODOS] - 60D</t>
  </si>
  <si>
    <t>[FB] [ENVOLVIMENTO] [TODOS] - 90D</t>
  </si>
  <si>
    <t>Qualquer pessoa que se envolveu com minha Página no Facebook nos últimos 365 dias</t>
  </si>
  <si>
    <t>Qualquer pessoa que se envolveu com meu perfil no Instagram nos últimos 60 dias</t>
  </si>
  <si>
    <t>[FB] [ENVOLVIMENTO] [TODOS] - 180D</t>
  </si>
  <si>
    <t>[M] - Lista - [LEADS] - DATA DA ATUALIZAÇÃO</t>
  </si>
  <si>
    <t>[IG] [ENVOLVIMENTO] [TODOS] - 90D</t>
  </si>
  <si>
    <t>Qualquer pessoa que se envolveu com meu perfil no Instagram nos últimos 90 dias</t>
  </si>
  <si>
    <t>Semelhante (BR, 1%) - [FB] [ENVOLVIMENTO] [TODOS] - 30D</t>
  </si>
  <si>
    <t>Lista completa de LEADS</t>
  </si>
  <si>
    <t xml:space="preserve">Lookalike 1% Brasil da Qualquer pessoa que se envolveu com minha Página no Facebook nos últimos 30 dias                        </t>
  </si>
  <si>
    <t>[FB] [ENVOLVIMENTO] [TODOS] - 365D</t>
  </si>
  <si>
    <t>[IG] [ENVOLVIMENTO] [TODOS] - 180D</t>
  </si>
  <si>
    <t>Qualquer pessoa que se envolveu com meu perfil no Instagram nos últimos 180 dias</t>
  </si>
  <si>
    <t>Envolvimento VISITOU PÁGINA</t>
  </si>
  <si>
    <t>[IG] [ENVOLVIMENTO] [TODOS] - 365D</t>
  </si>
  <si>
    <t>Qualquer pessoa que se envolveu com meu perfil no Instagram nos últimos 365 dias</t>
  </si>
  <si>
    <t>Envolvimento VISITOU PERFIL</t>
  </si>
  <si>
    <t>Semelhante (BR, 1%) - [FB] [ENVOLVIMENTO] [TODOS] - 60D</t>
  </si>
  <si>
    <t xml:space="preserve">Lookalike 1% Brasil da Qualquer pessoa que se envolveu com minha Página no Facebook nos últimos 60 dias                        </t>
  </si>
  <si>
    <t>Lista CLIENTES</t>
  </si>
  <si>
    <t>[FB] - Envolvimento [VISITOU] - 30D</t>
  </si>
  <si>
    <t>Qualquer pessoa que VISITOU minha Página no Facebook nos últimos 30 dias</t>
  </si>
  <si>
    <t>Semelhante (BR, 1%) - [FB] [ENVOLVIMENTO] [TODOS] - 90D</t>
  </si>
  <si>
    <t xml:space="preserve">Lookalike 1% Brasil da Qualquer pessoa que se envolveu com minha Página no Facebook nos últimos 90 dias                        </t>
  </si>
  <si>
    <t>[IG] - Envolvimento [VISITOU] - 30D</t>
  </si>
  <si>
    <t>Qualquer pessoa que VISITOU meu perfil no Instagram nos últimos 30 dias</t>
  </si>
  <si>
    <t>Semelhante (BR, 1%) - [FB] [ENVOLVIMENTO] [TODOS] - 180D</t>
  </si>
  <si>
    <t>[FB] - Envolvimento [VISITOU] - 90D</t>
  </si>
  <si>
    <t>Qualquer pessoa que VISITOU minha Página no Facebook nos últimos 90 dias</t>
  </si>
  <si>
    <t xml:space="preserve">Lookalike 1% Brasil da Qualquer pessoa que se envolveu com minha Página no Facebook nos últimos 180 dias                        </t>
  </si>
  <si>
    <t>[IG] - Envolvimento [VISITOU] - 60D</t>
  </si>
  <si>
    <t>[FB] - Envolvimento [VISITOU] - 180D</t>
  </si>
  <si>
    <t>Qualquer pessoa que VISITOU meu perfil no Instagram nos últimos 60 dias</t>
  </si>
  <si>
    <t>Qualquer pessoa que VISITOU minha Página no Facebook nos últimos 180 dias</t>
  </si>
  <si>
    <t>Semelhante (BR, 1%) - [FB] [ENVOLVIMENTO] [TODOS] - 365D</t>
  </si>
  <si>
    <t>[IG] - Envolvimento [VISITOU] - 90D</t>
  </si>
  <si>
    <t>[FB] - Envolvimento [VISITOU] - 365D</t>
  </si>
  <si>
    <t xml:space="preserve">Lookalike 1% Brasil da Qualquer pessoa que se envolveu com minha Página no Facebook nos últimos 365 dias                        </t>
  </si>
  <si>
    <t>Qualquer pessoa que VISITOU meu perfil no Instagram nos últimos 90 dias</t>
  </si>
  <si>
    <t>Qualquer pessoa que VISITOU minha Página no Facebook nos últimos 365 dias</t>
  </si>
  <si>
    <t>[IG] - Envolvimento [VISITOU] - 180D</t>
  </si>
  <si>
    <t>[LISTA] [M] [05.11] - Lista de Clientes - LTV</t>
  </si>
  <si>
    <t>Envolvimento ENVOLVEU PUBLICAÇÃO OU ANÚNCIO</t>
  </si>
  <si>
    <t>Qualquer pessoa que VISITOU meu perfil no Instagram nos últimos 180 dias</t>
  </si>
  <si>
    <t>Lista completa de CLIENTES com valores</t>
  </si>
  <si>
    <t>[IG] - Envolvimento [VISITOU] - 365D</t>
  </si>
  <si>
    <t>Lookalike (BR, 1%) - FB - Envolvimento [TODOS] - 60D</t>
  </si>
  <si>
    <t>Qualquer pessoa que VISITOU meu perfil no Instagram nos últimos 365 dias</t>
  </si>
  <si>
    <t>Lookalike 1% Brasil da Qualquer pessoa que se envolveu com minha Página no Facebook nos últimos 60 dias</t>
  </si>
  <si>
    <t>[FB] - Envolvimento [ENVOLVEU] - 30D</t>
  </si>
  <si>
    <t>Qualquer pessoa que se ENVOLVEU com qualquer publicação ou anúncio na Página nos últimos 30 dias</t>
  </si>
  <si>
    <t>Lookalike (BR, 2%) - FB - Envolvimento [TODOS] - 60D</t>
  </si>
  <si>
    <t>[LISTA] [M] [05.11] - Lista de Clientes</t>
  </si>
  <si>
    <t>Lookalike 2% Brasil da Qualquer pessoa que se envolveu com minha Página no Facebook nos últimos 60 dias</t>
  </si>
  <si>
    <t>[FB] - Envolvimento [ENVOLVEU] - 90D</t>
  </si>
  <si>
    <t>Qualquer pessoa que se ENVOLVEU com qualquer publicação ou anúncio na Página nos últimos 90 dias</t>
  </si>
  <si>
    <t>[IG] - Envolvimento [ENVOLVEU] - 30D</t>
  </si>
  <si>
    <t>Lista completa de CLIENTES</t>
  </si>
  <si>
    <t>Lookalike (BR, 3%) - FB - Envolvimento [TODOS] - 60D</t>
  </si>
  <si>
    <t>Qualquer pessoa que se ENVOLVEU com qualquer publicação ou anúncio no Instagram nos últimos 30 dias</t>
  </si>
  <si>
    <t>Lookalike 3% Brasil da Qualquer pessoa que se envolveu com minha Página no Facebook nos últimos 60 dias</t>
  </si>
  <si>
    <t>[FB] - Envolvimento [ENVOLVEU] - 180D</t>
  </si>
  <si>
    <t>Qualquer pessoa que se ENVOLVEU com qualquer publicação ou anúncio na Página nos últimos 180 dias</t>
  </si>
  <si>
    <t>Lookalike (BR, 4%) - FB - Envolvimento [TODOS] - 60D</t>
  </si>
  <si>
    <t>[FB] - Envolvimento [ENVOLVEU] - 365D</t>
  </si>
  <si>
    <t>[IG] - Envolvimento [ENVOLVEU] - 60D</t>
  </si>
  <si>
    <t>Lookalike 4% Brasil da Qualquer pessoa que se envolveu com minha Página no Facebook nos últimos 60 dias</t>
  </si>
  <si>
    <t>Qualquer pessoa que se ENVOLVEU com qualquer publicação ou anúncio na Página nos últimos 365 dias</t>
  </si>
  <si>
    <t>Qualquer pessoa que se ENVOLVEU com qualquer publicação ou anúncio no Instagram nos últimos 60 dias</t>
  </si>
  <si>
    <t>Lookalike (BR, 5%) - FB - Envolvimento [TODOS] - 60D</t>
  </si>
  <si>
    <t>Envolvimento CLICOU BOTÃO</t>
  </si>
  <si>
    <t>[IG] - Envolvimento [ENVOLVEU] - 90D</t>
  </si>
  <si>
    <t>Qualquer pessoa que se ENVOLVEU com qualquer publicação ou anúncio no Instagram nos últimos 90 dias</t>
  </si>
  <si>
    <t>Lista CLIENTES EM POTENCIAIS</t>
  </si>
  <si>
    <t>Lookalike 5% Brasil da Qualquer pessoa que se envolveu com minha Página no Facebook nos últimos 60 dias</t>
  </si>
  <si>
    <t>[IG] - Envolvimento [ENVOLVEU] - 180D</t>
  </si>
  <si>
    <t>Qualquer pessoa que se ENVOLVEU com qualquer publicação ou anúncio no Instagram nos últimos 180 dias</t>
  </si>
  <si>
    <t>Lookalike (BR, 10%) - FB - Envolvimento [TODOS] - 60D</t>
  </si>
  <si>
    <t>Lookalike 10% Brasil da Qualquer pessoa que se envolveu com minha Página no Facebook nos últimos 60 dias</t>
  </si>
  <si>
    <t>[IG] - Envolvimento [ENVOLVEU] - 365D</t>
  </si>
  <si>
    <t>[FB] - Envolvimento [CLICOU] - 30D</t>
  </si>
  <si>
    <t>Qualquer pessoa que se ENVOLVEU com qualquer publicação ou anúncio no Instagram nos últimos 365 dias</t>
  </si>
  <si>
    <t>Qualquer pessoa que CLICOU em qualquer botão de CTA na Página do Facebook nos últimos 30 dias</t>
  </si>
  <si>
    <t>[FB] - Envolvimento [CLICOU] - 90D</t>
  </si>
  <si>
    <t>Envolvimento MENSAGENS</t>
  </si>
  <si>
    <t>Lookalike (BR, 1%) - FB - Envolvimento [CLICOU] - 60D</t>
  </si>
  <si>
    <t>Qualquer pessoa que CLICOU em qualquer botão de CTA na Página do Facebook nos últimos 90 dias</t>
  </si>
  <si>
    <t>Lookalike 1% Brasil da Qualquer pessoa que CLICOU em qualquer botão de CTA na Página do Facebook nos últimos 60 dias</t>
  </si>
  <si>
    <t>[FB] - Envolvimento [CLICOU] - 180D</t>
  </si>
  <si>
    <t>[M] - Lista - [POTENCIAIS] - DATA DA ATUALIZAÇÃO</t>
  </si>
  <si>
    <t>Qualquer pessoa que CLICOU em qualquer botão de CTA na Página do Facebook nos últimos 180 dias</t>
  </si>
  <si>
    <t>Lista completa de CLIENTES EM POTENCIAIS</t>
  </si>
  <si>
    <t>[FB] - Envolvimento [CLICOU] - 365D</t>
  </si>
  <si>
    <t>Qualquer pessoa que CLICOU em qualquer botão de CTA na Página do Facebook nos últimos 365 dias</t>
  </si>
  <si>
    <t>Lookalike (BR, 2%) - FB - Envolvimento [CLICOU] - 60D</t>
  </si>
  <si>
    <t>[IG] - Envolvimento [MENSAGEM] - 30D</t>
  </si>
  <si>
    <t>Qualquer pessoa que enviou uma MENSAGEM no perfil do Instagram nos últimos 30 dias</t>
  </si>
  <si>
    <t>Lookalike 2% Brasil da Qualquer pessoa que CLICOU em qualquer botão de CTA na Página do Facebook nos últimos 60 dias</t>
  </si>
  <si>
    <t>Lista LEADS LANÇAMENTO</t>
  </si>
  <si>
    <t>[IG] - Envolvimento [MENSAGEM] - 60D</t>
  </si>
  <si>
    <t>Lookalike (BR, 3%) - FB - Envolvimento [CLICOU] - 60D</t>
  </si>
  <si>
    <t>[FB] - Envolvimento [MENSAGEM] - 30D</t>
  </si>
  <si>
    <t>Qualquer pessoa que enviou uma MENSAGEM no perfil do Instagram nos últimos 60 dias</t>
  </si>
  <si>
    <t>Qualquer pessoa que enviou uma MENSAGEM na Página do Facebook nos últimos 30 dias</t>
  </si>
  <si>
    <t>Lookalike 3% Brasil da Qualquer pessoa que CLICOU em qualquer botão de CTA na Página do Facebook nos últimos 60 dias</t>
  </si>
  <si>
    <t>[IG] - Envolvimento [MENSAGEM] - 90D</t>
  </si>
  <si>
    <t>Qualquer pessoa que enviou uma MENSAGEM no perfil do Instagram nos últimos 90 dias</t>
  </si>
  <si>
    <t>[FB] - Envolvimento [MENSAGEM] - 90D</t>
  </si>
  <si>
    <t>Lookalike (BR, 4%) - FB - Envolvimento [CLICOU] - 60D</t>
  </si>
  <si>
    <t>Qualquer pessoa que enviou uma MENSAGEM na Página do Facebook nos últimos 90 dias</t>
  </si>
  <si>
    <t>[IG] - Envolvimento [MENSAGEM] - 180D</t>
  </si>
  <si>
    <t>Lookalike 4% Brasil da Qualquer pessoa que CLICOU em qualquer botão de CTA na Página do Facebook nos últimos 60 dias</t>
  </si>
  <si>
    <t>Qualquer pessoa que enviou uma MENSAGEM no perfil do Instagram nos últimos 180 dias</t>
  </si>
  <si>
    <t>[FB] - Envolvimento [MENSAGEM] - 180D</t>
  </si>
  <si>
    <t>Qualquer pessoa que enviou uma MENSAGEM na Página do Facebook nos últimos 180 dias</t>
  </si>
  <si>
    <t>[IG] - Envolvimento [MENSAGEM] - 365D</t>
  </si>
  <si>
    <t>[FB] - Envolvimento [MENSAGEM] - 365D</t>
  </si>
  <si>
    <t>Lookalike (BR, 5%) - FB - Envolvimento [CLICOU] - 60D</t>
  </si>
  <si>
    <t>Qualquer pessoa que enviou uma MENSAGEM no perfil do Instagram nos últimos 365 dias</t>
  </si>
  <si>
    <t>Qualquer pessoa que enviou uma MENSAGEM na Página do Facebook nos últimos 365 dias</t>
  </si>
  <si>
    <t>Lookalike 5% Brasil da Qualquer pessoa que CLICOU em qualquer botão de CTA na Página do Facebook nos últimos 60 dias</t>
  </si>
  <si>
    <t>Envolvimento SALVOS</t>
  </si>
  <si>
    <t>[M] - Lista - [LANÇAMENTO] - DATA DA ATUALIZAÇÃO</t>
  </si>
  <si>
    <t>Lookalike (BR, 10%) - FB - Envolvimento [CLICOU] - 60D</t>
  </si>
  <si>
    <t>Lista completa de LEADS cadastradas para um LANÇAMENTO</t>
  </si>
  <si>
    <t>Lookalike 10% Brasil da Qualquer pessoa que CLICOU em qualquer botão de CTA na Página do Facebook nos últimos 60 dias</t>
  </si>
  <si>
    <t>[FB] - Envolvimento [SALVOU] - 30D</t>
  </si>
  <si>
    <t>[IG] - Envolvimento [SALVOU] - 30D</t>
  </si>
  <si>
    <t>Qualquer pessoa que SALVOU minha Página ou qualquer publicação da Página nos últimos 30 dias</t>
  </si>
  <si>
    <t>Qualquer pessoa que SALVOU qualquer publicação ou anúncio no perf. do Instagram nos últimos 30 dias</t>
  </si>
  <si>
    <t>Lista LEADS LIVE</t>
  </si>
  <si>
    <t>Lookalike (BR, 1%) - FB - Envolvimento [MENSAGEM] - 60D</t>
  </si>
  <si>
    <t>[FB] - Envolvimento [SALVOU] - 90D</t>
  </si>
  <si>
    <t>[IG] - Envolvimento [SALVOU] - 60D</t>
  </si>
  <si>
    <t>Qualquer pessoa que SALVOU minha Página ou qualquer publicação da Página nos últimos 90 dias</t>
  </si>
  <si>
    <t>Qualquer pessoa que SALVOU qualquer publicação ou anúncio no perf. do Instagram nos últimos 60 dias</t>
  </si>
  <si>
    <t>Lookalike 1% Brasil da Qualquer pessoa que enviou uma MENSAGEM na Página do Facebook nos últimos 60 dias</t>
  </si>
  <si>
    <t>[FB] - Envolvimento [SALVOU] - 180D</t>
  </si>
  <si>
    <t>[IG] - Envolvimento [SALVOU] - 90D</t>
  </si>
  <si>
    <t>Qualquer pessoa que SALVOU minha Página ou qualquer publicação da Página nos últimos 180 dias</t>
  </si>
  <si>
    <t>Qualquer pessoa que SALVOU qualquer publicação ou anúncio no perf. do Instagram nos últimos 90 dias</t>
  </si>
  <si>
    <t>[FB] - Envolvimento [SALVOU] - 365D</t>
  </si>
  <si>
    <t>[IG] - Envolvimento [SALVOU] - 180D</t>
  </si>
  <si>
    <t>Qualquer pessoa que SALVOU minha Página ou qualquer publicação da Página nos últimos 365 dias</t>
  </si>
  <si>
    <t>Qualquer pessoa que SALVOU qualquer publicação ou anúncio no perf. do Instagram nos últimos 180 dias</t>
  </si>
  <si>
    <t>Lookalike (BR, 2%) - FB - Envolvimento [MENSAGEM] - 60D</t>
  </si>
  <si>
    <t>Envolvimento CURTIU A PÁGINA ATUALMENTE</t>
  </si>
  <si>
    <t>Lookalike 2% Brasil da Qualquer pessoa que enviou uma MENSAGEM na Página do Facebook nos últimos 60 dias</t>
  </si>
  <si>
    <t>[M] - Lista - [LIVES] - DATA DA ATUALIZAÇÃO</t>
  </si>
  <si>
    <t>[IG] - Envolvimento [SALVOU] - 365D</t>
  </si>
  <si>
    <t>Qualquer pessoa que SALVOU qualquer publicação ou anúncio no perf. do Instagram nos últimos 365 dias</t>
  </si>
  <si>
    <t>Lookalike (BR, 3%) - FB - Envolvimento [MENSAGEM] - 60D</t>
  </si>
  <si>
    <t>Lookalike 3% Brasil da Qualquer pessoa que enviou uma MENSAGEM na Página do Facebook nos últimos 60 dias</t>
  </si>
  <si>
    <t>Lista completa de LEADS cadastradas para LIVES SEMANAIS</t>
  </si>
  <si>
    <t>[FB] - Envolvimento [CURTIU PÁGINA ATUALMENTE]</t>
  </si>
  <si>
    <t>Envolvimento SEGUIU o Perfil ATUALMENTE</t>
  </si>
  <si>
    <t>Qualquer pessoa que CURTIU minha Página no Facebook ATUALMENTE</t>
  </si>
  <si>
    <t>Lookalike (BR, 4%) - FB - Envolvimento [MENSAGEM] - 60D</t>
  </si>
  <si>
    <t>Lookalike 4% Brasil da Qualquer pessoa que enviou uma MENSAGEM na Página do Facebook nos últimos 60 dias</t>
  </si>
  <si>
    <t>Lookalike (BR, 5%) - FB - Envolvimento [MENSAGEM] - 60D</t>
  </si>
  <si>
    <t>Lista LEADS E-BOOK</t>
  </si>
  <si>
    <t>Lookalike 5% Brasil da Qualquer pessoa que enviou uma MENSAGEM na Página do Facebook nos últimos 60 dias</t>
  </si>
  <si>
    <t>[IG] - [SEGUI A CONTA ATUALMENTE]</t>
  </si>
  <si>
    <t>Qualquer pessoa que SEGUI minha Conta do Instagram ATUALMENTE</t>
  </si>
  <si>
    <t>Lookalike (BR, 10%) - FB - Envolvimento [MENSAGEM] - 60D</t>
  </si>
  <si>
    <t>Lookalike 10% Brasil da Qualquer pessoa que enviou uma MENSAGEM na Página do Facebook nos últimos 60 dias</t>
  </si>
  <si>
    <t>[M] - Lista - [EBOOK] - DATA DA ATUALIZAÇÃO</t>
  </si>
  <si>
    <t>Lista completa de LEADS cadastradas para receber o E-BOOK</t>
  </si>
  <si>
    <t>Lookalike ENVOLVIMENTO INSTAGRAM</t>
  </si>
  <si>
    <t>Lista PLANILHA</t>
  </si>
  <si>
    <t>Semelhante (BR, 1%) - [IG] [ENV] [TODOS] - 30D</t>
  </si>
  <si>
    <t>Lookalike 1% Brasil da Qualquer pessoa que se envolveu com meu perfil no Instagram nos últimos 30D</t>
  </si>
  <si>
    <t>[M] - Lista - [PLANILHA] - DATA DA ATUALIZAÇÃO</t>
  </si>
  <si>
    <t>Semelhante (BR, 1%) - [IG] [ENV] [TODOS] - 60D</t>
  </si>
  <si>
    <t>Lista completa de LEADS cadastradas para receber a PLANILHA</t>
  </si>
  <si>
    <t>Lookalike 1% Brasil da Qualquer pessoa que se envolveu com meu perfil no Instagram nos últimos 60D</t>
  </si>
  <si>
    <t>Semelhante (BR, 1%) - [IG] [ENV] [TODOS] - 90D</t>
  </si>
  <si>
    <t>Lookalike 1% Brasil da Qualquer pessoa que se envolveu com meu perfil no Instagram nos últimos 90D</t>
  </si>
  <si>
    <t>Semelhante (BR, 1%) - [IG] [ENV] [TODOS] - 180D</t>
  </si>
  <si>
    <t>Lookalike 1% Brasil da Qualquer pessoa que se envolveu com meu perfil no Instagram nos últimos 180D</t>
  </si>
  <si>
    <t>Semelhante (BR, 1%) - [IG] [ENV] [TODOS] - 365D</t>
  </si>
  <si>
    <t>Lookalike 1% Brasil da Qualquer pessoa que se envolveu com meu perfil no Instagram nos últimos 365D</t>
  </si>
  <si>
    <t>Lookalike (BR, 1%) - IG - Envolvimento [TODOS] - 60D</t>
  </si>
  <si>
    <t>Lookalike 1% Brasil da Qualquer pessoa que se envolveu com meu perfil no Instagram nos últimos 60 dias</t>
  </si>
  <si>
    <t>Lookalike (BR, 2%) - IG - Envolvimento [TODOS] - 60D</t>
  </si>
  <si>
    <t>Lookalike 2% Brasil da Qualquer pessoa que se envolveu com meu perfil no Instagram nos últimos 60 dias</t>
  </si>
  <si>
    <t>Lookalike (BR, 3%) - IG - Envolvimento [TODOS] - 60D</t>
  </si>
  <si>
    <t>Lookalike 3% Brasil da Qualquer pessoa que se envolveu com meu perfil no Instagram nos últimos 60 dias</t>
  </si>
  <si>
    <t>Lookalike (BR, 4%) - IG - Envolvimento [TODOS] - 60D</t>
  </si>
  <si>
    <t>Lookalike 4% Brasil da Qualquer pessoa que se envolveu com meu perfil no Instagram nos últimos 60 dias</t>
  </si>
  <si>
    <t>Lookalike (BR, 5%) - IG - Envolvimento [TODOS] - 60D</t>
  </si>
  <si>
    <t>Lookalike 5% Brasil da Qualquer pessoa que se envolveu com meu perfil no Instagram nos últimos 60 dias</t>
  </si>
  <si>
    <t>Lookalike (BR, 10%) - IG - Envolvimento [TODOS] - 60D</t>
  </si>
  <si>
    <t>Lookalike 10% Brasil da Qualquer pessoa que se envolveu com meu perfil no Instagram nos últimos 60 dias</t>
  </si>
  <si>
    <t>Lookalike (BR, 1%) - IG - Envolvimento [MENSAGEM] - 60D</t>
  </si>
  <si>
    <t>Lookalike 1% Brasil da Qualquer pessoa que enviou uma MENSAGEM no perfil do Instagram nos últimos 60 dias</t>
  </si>
  <si>
    <t>Lookalike (BR, 2%) - IG - Envolvimento [MENSAGEM] - 60D</t>
  </si>
  <si>
    <t>Lookalike 2% Brasil da Qualquer pessoa que enviou uma MENSAGEM no perfil do Instagram nos últimos 60 dias</t>
  </si>
  <si>
    <t>Lookalike (BR, 3%) - IG - Envolvimento [MENSAGEM] - 60D</t>
  </si>
  <si>
    <t>Lookalike 3% Brasil da Qualquer pessoa que enviou uma MENSAGEM no perfil do Instagram nos últimos 60 dias</t>
  </si>
  <si>
    <t>Lookalike (BR, 4%) - IG - Envolvimento [MENSAGEM] - 60D</t>
  </si>
  <si>
    <t>Lookalike 4% Brasil da Qualquer pessoa que enviou uma MENSAGEM no perfil do Instagram nos últimos 60 dias</t>
  </si>
  <si>
    <t>Lookalike (BR, 5%) - IG - Envolvimento [MENSAGEM] - 60D</t>
  </si>
  <si>
    <t>Lookalike 5% Brasil da Qualquer pessoa que enviou uma MENSAGEM no perfil do Instagram nos últimos 60 dias</t>
  </si>
  <si>
    <t>Lookalike (BR, 10%) - IG - Envolvimento [MENSAGEM] - 60D</t>
  </si>
  <si>
    <t>Lookalike 10% Brasil da Qualquer pessoa que enviou uma MENSAGEM no perfil do Instagram nos últimos 60 dias</t>
  </si>
  <si>
    <t>Lookalike VIEW SITE</t>
  </si>
  <si>
    <t>Formulário de Cadastro</t>
  </si>
  <si>
    <t>Semelhante (BR, 1%) - [SITE] Visitantes do Site - 30D</t>
  </si>
  <si>
    <t>Lookalike 1% Brasil da Qualquer pessoa que visitou qualquer página do SITE nos últimos 30 dias</t>
  </si>
  <si>
    <t>Formulário de Cadastro ABRIU</t>
  </si>
  <si>
    <t>Semelhante (BR, 1%) - [SITE] Visitantes do Site - 60D</t>
  </si>
  <si>
    <t>Lookalike 1% Brasil da Qualquer pessoa que visitou qualquer página do SITE nos últimos 60 dias</t>
  </si>
  <si>
    <t>Semelhante (BR, 1%) - [SITE] Visitantes do Site - 900D</t>
  </si>
  <si>
    <t>Lookalike 1% Brasil da Qualquer pessoa que visitou qualquer página do SITE nos últimos 90 dias</t>
  </si>
  <si>
    <t>Formulário - [ABRIU] - 30D</t>
  </si>
  <si>
    <t>Qualquer pessoa que ABRIU qualquer Formulário nos últimos 30 dias</t>
  </si>
  <si>
    <t>Semelhante (BR, 1%) - [SITE] Visitantes do Site - 1800D</t>
  </si>
  <si>
    <t>Lookalike 1% Brasil da Qualquer pessoa que visitou qualquer página do SITE nos últimos 180 dias</t>
  </si>
  <si>
    <t>Formulário - [ABRIU] - 60D</t>
  </si>
  <si>
    <t>Qualquer pessoa que ABRIU qualquer Formulário nos últimos 60 dias</t>
  </si>
  <si>
    <t>Lookalike (BR, 1%) - View Site - [OBRIGADO LANÇAMENTO] - 180D</t>
  </si>
  <si>
    <t>Formulário - [ABRIU] - 90D</t>
  </si>
  <si>
    <t>Lookalike 1% Brasil da Qualquer pessoa que visitou a página de OBRIGADO do Lançamento nos últimos 180 dias</t>
  </si>
  <si>
    <t>Qualquer pessoa que ABRIU qualquer Formulário nos últimos 90 dias</t>
  </si>
  <si>
    <t>Formulário de Cadastro ABRIU e NÃO ENVIOU</t>
  </si>
  <si>
    <t>Lookalike (BR, 2%) - View Site - [OBRIGADO LANÇAMENTO] - 180D</t>
  </si>
  <si>
    <t>Lookalike 2% Brasil da Qualquer pessoa que visitou a página de OBRIGADO do Lançamento nos últimos 180 dias</t>
  </si>
  <si>
    <t>Formulário - [NÃO ENVIOU] - 30D</t>
  </si>
  <si>
    <t>Lookalike (BR, 3%) - View Site - [OBRIGADO LANÇAMENTO] - 180D</t>
  </si>
  <si>
    <t>Qualquer pessoa que ABRIU, mas NÃO ENVIOU qualquer Formulário nos últimos 30 dias</t>
  </si>
  <si>
    <t>Lookalike 3% Brasil da Qualquer pessoa que visitou a página de OBRIGADO do Lançamento nos últimos 180 dias</t>
  </si>
  <si>
    <t>Formulário - [NÃO ENVIOU] - 60D</t>
  </si>
  <si>
    <t>Qualquer pessoa que ABRIU, mas NÃO ENVIOU qualquer Formulário nos últimos 60 dias</t>
  </si>
  <si>
    <t>Lookalike (BR, 4%) - View Site - [OBRIGADO LANÇAMENTO] - 180D</t>
  </si>
  <si>
    <t>Formulário - [NÃO ENVIOU] - 90D</t>
  </si>
  <si>
    <t>Qualquer pessoa que ABRIU, mas NÃO ENVIOU qualquer Formulário nos últimos 90 dias</t>
  </si>
  <si>
    <t>Formulário de Cadastro ABRIU e ENVIOU</t>
  </si>
  <si>
    <t>Lookalike 4% Brasil da Qualquer pessoa que visitou a página de OBRIGADO do Lançamento nos últimos 180 dias</t>
  </si>
  <si>
    <t>Lookalike (BR, 5%) - View Site - [OBRIGADO LANÇAMENTO] - 180D</t>
  </si>
  <si>
    <t>Lookalike 5% Brasil da Qualquer pessoa que visitou a página de OBRIGADO do Lançamento nos últimos 180 dias</t>
  </si>
  <si>
    <t>Formulário - [ENVIOU] - 30D</t>
  </si>
  <si>
    <t>Qualquer pessoa que ABRIU e ENVIOU qualquer Formulário nos últimos 30 dias</t>
  </si>
  <si>
    <t>Lookalike (BR, 10%) - View Site - [OBRIGADO LANÇAMENTO] - 180D</t>
  </si>
  <si>
    <t>Lookalike 10% Brasil da Qualquer pessoa que visitou a página de OBRIGADO do Lançamento nos últimos 180 dias</t>
  </si>
  <si>
    <t>Formulário - [ENVIOU] - 60D</t>
  </si>
  <si>
    <t>Qualquer pessoa que ABRIU e ENVIOU qualquer Formulário nos últimos 60 dias</t>
  </si>
  <si>
    <t>Formulário - [ENVIOU] - 90D</t>
  </si>
  <si>
    <t>Qualquer pessoa que ABRIU e ENVIOU qualquer Formulário nos últimos 90 dias</t>
  </si>
  <si>
    <t>Lookalike (BR, 1%) - View Site - [LANÇAMENTO] - 180D</t>
  </si>
  <si>
    <t>Lookalike 1% Brasil da Qualquer pessoa que visitou a página do LANÇAMENTO nos últimos 180 dias</t>
  </si>
  <si>
    <t>Lookalike (BR, 2%) - View Site - [LANÇAMENTO] - 180D</t>
  </si>
  <si>
    <t>Lookalike 2% Brasil da Qualquer pessoa que visitou a página do LANÇAMENTO nos últimos 180 dias</t>
  </si>
  <si>
    <t>Lookalike (BR, 3%) - View Site - [LANÇAMENTO] - 180D</t>
  </si>
  <si>
    <t>Lookalike 3% Brasil da Qualquer pessoa que visitou a página do LANÇAMENTO nos últimos 180 dias</t>
  </si>
  <si>
    <t>Lookalike (BR, 4%) - View Site - [LANÇAMENTO] - 180D</t>
  </si>
  <si>
    <t>Lookalike 4% Brasil da Qualquer pessoa que visitou a página do LANÇAMENTO nos últimos 180 dias</t>
  </si>
  <si>
    <t>Lookalike (BR, 5%) - View Site - [LANÇAMENTO] - 180D</t>
  </si>
  <si>
    <t>Lookalike 5% Brasil da Qualquer pessoa que visitou a página do LANÇAMENTO nos últimos 180 dias</t>
  </si>
  <si>
    <t>Lookalike (BR, 10%) - View Site - [LANÇAMENTO] - 180D</t>
  </si>
  <si>
    <t>Lookalike 10% Brasil da Qualquer pessoa que visitou a página do LANÇAMENTO nos últimos 180 dias</t>
  </si>
  <si>
    <t>Lookalike (BR, 1%) - View Site - [COMPRA] - 180D</t>
  </si>
  <si>
    <t>Lookalike 1% Brasil da Qualquer pessoa que visitou a página de OBRIGADO COMPRA APROVADA do Produto nos últimos 180 dias</t>
  </si>
  <si>
    <t>Lookalike (BR, 2%) - View Site - [COMPRA] - 180D</t>
  </si>
  <si>
    <t>Lookalike 2% Brasil da Qualquer pessoa que visitou a página de OBRIGADO COMPRA APROVADA do Produto nos últimos 180 dias</t>
  </si>
  <si>
    <t>Lookalike (BR, 3%) - View Site - [COMPRA] - 180D</t>
  </si>
  <si>
    <t>Lookalike 3% Brasil da Qualquer pessoa que visitou a página de OBRIGADO COMPRA APROVADA do Produto nos últimos 180 dias</t>
  </si>
  <si>
    <t>Lookalike (BR, 4%) - View Site - [COMPRA] - 180D</t>
  </si>
  <si>
    <t>Lookalike 4% Brasil da Qualquer pessoa que visitou a página de OBRIGADO COMPRA APROVADA do Produto nos últimos 180 dias</t>
  </si>
  <si>
    <t>Lookalike (BR, 5%) - View Site - [COMPRA] - 180D</t>
  </si>
  <si>
    <t>Lookalike 5% Brasil da Qualquer pessoa que visitou a página de OBRIGADO COMPRA APROVADA do Produto nos últimos 180 dias</t>
  </si>
  <si>
    <t>Lookalike (BR, 10%) - View Site - [COMPRA] - 180D</t>
  </si>
  <si>
    <t>Lookalike 10% Brasil da Qualquer pessoa que visitou a página de OBRIGADO COMPRA APROVADA do Produto nos últimos 180 dias</t>
  </si>
  <si>
    <t>View Site</t>
  </si>
  <si>
    <t>Lookalike (BR, 1%) - View Site - [BLOG] - 60D</t>
  </si>
  <si>
    <t>Lookalike 1% Brasil da Qualquer pessoa que visitou qualquer página do BLOG nos últimos 60 dias</t>
  </si>
  <si>
    <t>View Site TODOS</t>
  </si>
  <si>
    <t>Lookalike (BR, 2%) - View Site - [BLOG] - 60D</t>
  </si>
  <si>
    <t>Lookalike 2% Brasil da Qualquer pessoa que visitou qualquer página do BLOG nos últimos 60 dias</t>
  </si>
  <si>
    <t>Lookalike (BR, 3%) - View Site - [BLOG] - 60D</t>
  </si>
  <si>
    <t>View Site - 1D</t>
  </si>
  <si>
    <t>Lookalike 3% Brasil da Qualquer pessoa que visitou qualquer página do BLOG nos últimos 60 dias</t>
  </si>
  <si>
    <t>Qualquer pessoa que visitou qualquer página do SITE nos últimos 1 dias</t>
  </si>
  <si>
    <t>View Site - 3D</t>
  </si>
  <si>
    <t>Lookalike (BR, 4%) - View Site - [BLOG] - 60D</t>
  </si>
  <si>
    <t>Qualquer pessoa que visitou qualquer página do SITE nos últimos 3 dias</t>
  </si>
  <si>
    <t>Lookalike 4% Brasil da Qualquer pessoa que visitou qualquer página do BLOG nos últimos 60 dias</t>
  </si>
  <si>
    <t>View Site - 7D</t>
  </si>
  <si>
    <t>Qualquer pessoa que visitou qualquer página do SITE nos últimos 7 dias</t>
  </si>
  <si>
    <t>Lookalike (BR, 5%) - View Site - [BLOG] - 60D</t>
  </si>
  <si>
    <t>View Site - 14D</t>
  </si>
  <si>
    <t>Qualquer pessoa que visitou qualquer página do SITE nos últimos 15 dias</t>
  </si>
  <si>
    <t>Lookalike 5% Brasil da Qualquer pessoa que visitou qualquer página do BLOG nos últimos 60 dias</t>
  </si>
  <si>
    <t>View Site - 30D</t>
  </si>
  <si>
    <t>Qualquer pessoa que visitou qualquer página do SITE nos últimos 30 dias</t>
  </si>
  <si>
    <t>Lookalike (BR, 10%) - View Site - [BLOG] - 60D</t>
  </si>
  <si>
    <t>View Site - 60D</t>
  </si>
  <si>
    <t>Lookalike 10% Brasil da Qualquer pessoa que visitou qualquer página do BLOG nos últimos 60 dias</t>
  </si>
  <si>
    <t>Qualquer pessoa que visitou qualquer página do SITE nos últimos 60 dias</t>
  </si>
  <si>
    <t>View Site - 90D</t>
  </si>
  <si>
    <t>Qualquer pessoa que visitou qualquer página do SITE nos últimos 90 dias</t>
  </si>
  <si>
    <t>View Site - 180D</t>
  </si>
  <si>
    <t>Qualquer pessoa que visitou qualquer página do SITE nos últimos 180 dias</t>
  </si>
  <si>
    <t>Lookalike (BR, 1%) - View Site - [OBRIGADO LIVE] - 180D</t>
  </si>
  <si>
    <t>Lookalike 1% Brasil da Qualquer pessoa que visitou a página de OBRIGADO da Live nos últimos 180 dias</t>
  </si>
  <si>
    <t>View Site CAPTURA/SELETIVO</t>
  </si>
  <si>
    <t>Lookalike (BR, 2%) - View Site - [OBRIGADO LIVE] - 180D</t>
  </si>
  <si>
    <t>View Site - [CAPTURA LANÇAMENTO] - 30D</t>
  </si>
  <si>
    <t>Qualquer pessoa que visitou a página de CAPTURA/INSCRIÇÃO do Lançamento nos últimos 30 dias</t>
  </si>
  <si>
    <t>Lookalike 2% Brasil da Qualquer pessoa que visitou a página de OBRIGADO da Live nos últimos 180 dias</t>
  </si>
  <si>
    <t>View Site - [CAPTURA LANÇAMENTO] - 60D</t>
  </si>
  <si>
    <t>Qualquer pessoa que visitou a página de CAPTURA/INSCRIÇÃO do Lançamento nos últimos 60 dias</t>
  </si>
  <si>
    <t>View Site - [CAPTURA LANÇAMENTO] - 90D</t>
  </si>
  <si>
    <t>Lookalike (BR, 3%) - View Site - [OBRIGADO LIVE] - 180D</t>
  </si>
  <si>
    <t>Qualquer pessoa que visitou a página de CAPTURA/INSCRIÇÃO do Lançamento nos últimos 90 dias</t>
  </si>
  <si>
    <t>Lookalike 3% Brasil da Qualquer pessoa que visitou a página de OBRIGADO da Live nos últimos 180 dias</t>
  </si>
  <si>
    <t>View Site - [CAPTURA LANÇAMENTO] - 180D</t>
  </si>
  <si>
    <t>Qualquer pessoa que visitou a página de CAPTURA/INSCRIÇÃO do Lançamento nos últimos 180 dias</t>
  </si>
  <si>
    <t>View Site OBRIGADO</t>
  </si>
  <si>
    <t>Lookalike (BR, 4%) - View Site - [OBRIGADO LIVE] - 180D</t>
  </si>
  <si>
    <t>Lookalike 4% Brasil da Qualquer pessoa que visitou a página de OBRIGADO da Live nos últimos 180 dias</t>
  </si>
  <si>
    <t>Lookalike (BR, 5%) - View Site - [OBRIGADO LIVE] - 180D</t>
  </si>
  <si>
    <t>View Site - [OBRIGADO LANÇAMENTO] - 7D</t>
  </si>
  <si>
    <t>Qualquer pessoa que visitou a página de OBRIGADO do Lançamento nos últimos 7 dias</t>
  </si>
  <si>
    <t>Lookalike 5% Brasil da Qualquer pessoa que visitou a página de OBRIGADO da Live nos últimos 180 dias</t>
  </si>
  <si>
    <t>View Site - [OBRIGADO LANÇAMENTO] - 15D</t>
  </si>
  <si>
    <t>Lookalike (BR, 10%) - View Site - [OBRIGADO LIVE] - 180D</t>
  </si>
  <si>
    <t>Qualquer pessoa que visitou a página de OBRIGADO do Lançamento nos últimos 15 dias</t>
  </si>
  <si>
    <t>Lookalike 10% Brasil da Qualquer pessoa que visitou a página de OBRIGADO da Live nos últimos 180 dias</t>
  </si>
  <si>
    <t>View Site - [OBRIGADO LANÇAMENTO] - 21D</t>
  </si>
  <si>
    <t>Qualquer pessoa que visitou a página de OBRIGADO do Lançamento nos últimos 21 dias</t>
  </si>
  <si>
    <t>View Site - [OBRIGADO LANÇAMENTO] - 30D</t>
  </si>
  <si>
    <t>Qualquer pessoa que visitou a página de OBRIGADO do Lançamento nos últimos 30 dias</t>
  </si>
  <si>
    <t>Lookalike (BR, 1%) - View Site - [OBRIGADO EBOOK] - 180D</t>
  </si>
  <si>
    <t>Lookalike 1% Brasil da Qualquer pessoa que visitou a página de OBRIGADO do E-book nos últimos 180 dias</t>
  </si>
  <si>
    <t>View Site - [OBRIGADO LANÇAMENTO] - 35D</t>
  </si>
  <si>
    <t>Qualquer pessoa que visitou a página de OBRIGADO do Lançamento nos últimos 35 dias</t>
  </si>
  <si>
    <t>Lookalike (BR, 2%) - View Site - [OBRIGADO EBOOK] - 180D</t>
  </si>
  <si>
    <t>Lookalike 2% Brasil da Qualquer pessoa que visitou a página de OBRIGADO do E-book nos últimos 180 dias</t>
  </si>
  <si>
    <t>View Site - [OBRIGADO LANÇAMENTO] - 45D</t>
  </si>
  <si>
    <t>Qualquer pessoa que visitou a página de OBRIGADO do Lançamento nos últimos 45 dias</t>
  </si>
  <si>
    <t>Lookalike (BR, 3%) - View Site - [OBRIGADO EBOOK] - 180D</t>
  </si>
  <si>
    <t>View Site - [OBRIGADO LANÇAMENTO] - 60D</t>
  </si>
  <si>
    <t>Lookalike 3% Brasil da Qualquer pessoa que visitou a página de OBRIGADO do E-book nos últimos 180 dias</t>
  </si>
  <si>
    <t>Qualquer pessoa que visitou a página de OBRIGADO do Lançamento nos últimos 60 dias</t>
  </si>
  <si>
    <t>View Site - [OBRIGADO LANÇAMENTO] - 90D</t>
  </si>
  <si>
    <t>Lookalike (BR, 4%) - View Site - [OBRIGADO EBOOK] - 180D</t>
  </si>
  <si>
    <t>Qualquer pessoa que visitou a página de OBRIGADO do Lançamento nos últimos 90 dias</t>
  </si>
  <si>
    <t>Lookalike 4% Brasil da Qualquer pessoa que visitou a página de OBRIGADO do E-book nos últimos 180 dias</t>
  </si>
  <si>
    <t>View Site - [OBRIGADO LANÇAMENTO] - 180D</t>
  </si>
  <si>
    <t>Qualquer pessoa que visitou a página de OBRIGADO do Lançamento nos últimos 180 dias</t>
  </si>
  <si>
    <t>Lookalike (BR, 5%) - View Site - [OBRIGADO EBOOK] - 180D</t>
  </si>
  <si>
    <t>View Site LANÇAMENTO</t>
  </si>
  <si>
    <t>Lookalike 5% Brasil da Qualquer pessoa que visitou a página de OBRIGADO do E-book nos últimos 180 dias</t>
  </si>
  <si>
    <t>Lookalike (BR, 10%) - View Site - [OBRIGADO EBOOK] - 180D</t>
  </si>
  <si>
    <t>View Site - [LANÇAMENTO] - 30D</t>
  </si>
  <si>
    <t>Qualquer pessoa que visitou a página do LANÇAMENTO nos últimos 30 dias</t>
  </si>
  <si>
    <t>Lookalike 10% Brasil da Qualquer pessoa que visitou a página de OBRIGADO do E-book nos últimos 180 dias</t>
  </si>
  <si>
    <t>View Site - [LANÇAMENTO] - 60D</t>
  </si>
  <si>
    <t>Qualquer pessoa que visitou a página do LANÇAMENTO nos últimos 60 dias</t>
  </si>
  <si>
    <t>View Site - [LANÇAMENTO] - 90D</t>
  </si>
  <si>
    <t>Qualquer pessoa que visitou a página do LANÇAMENTO nos últimos 90 dias</t>
  </si>
  <si>
    <t>View Site - [LANÇAMENTO] - 180D</t>
  </si>
  <si>
    <t>Qualquer pessoa que visitou a página do LANÇAMENTO nos últimos 180 dias</t>
  </si>
  <si>
    <t>Lookalike (BR, 1%) - View Site - [OBRIGADO PLANILHA] - 180D</t>
  </si>
  <si>
    <t>View Site PÁGINA DE VENDAS</t>
  </si>
  <si>
    <t>Lookalike 1% Brasil da Qualquer pessoa que visitou a página de OBRIGADO do Planilha nos últimos 180 dias</t>
  </si>
  <si>
    <t>Lookalike (BR, 2%) - View Site - [OBRIGADO PLANILHA] - 180D</t>
  </si>
  <si>
    <t>Lookalike 2% Brasil da Qualquer pessoa que visitou a página de OBRIGADO do Planilha nos últimos 180 dias</t>
  </si>
  <si>
    <t>View Site - [PV PRODUTO] - 30D</t>
  </si>
  <si>
    <t>Qualquer pessoa que visitou a PÁGINA DE VENDAS do Produto nos últimos 30 dias</t>
  </si>
  <si>
    <t>Lookalike (BR, 3%) - View Site - [OBRIGADO PLANILHA] - 180D</t>
  </si>
  <si>
    <t>View Site - [PV PRODUTO] - 60D</t>
  </si>
  <si>
    <t>Lookalike 3% Brasil da Qualquer pessoa que visitou a página de OBRIGADO do Planilha nos últimos 180 dias</t>
  </si>
  <si>
    <t>Qualquer pessoa que visitou a PÁGINA DE VENDAS do Produto nos últimos 60 dias</t>
  </si>
  <si>
    <t>View Site - [PV PRODUTO] - 90D</t>
  </si>
  <si>
    <t>Qualquer pessoa que visitou a PÁGINA DE VENDAS do Produto nos últimos 90 dias</t>
  </si>
  <si>
    <t>Lookalike (BR, 4%) - View Site - [OBRIGADO PLANILHA] - 180D</t>
  </si>
  <si>
    <t>Lookalike 4% Brasil da Qualquer pessoa que visitou a página de OBRIGADO do Planilha nos últimos 180 dias</t>
  </si>
  <si>
    <t>View Site - [PV PRODUTO] - 180D</t>
  </si>
  <si>
    <t>Qualquer pessoa que visitou a PÁGINA DE VENDAS do Produto nos últimos 180 dias</t>
  </si>
  <si>
    <t>View Site CHECKOUT</t>
  </si>
  <si>
    <t>Lookalike (BR, 5%) - View Site - [OBRIGADO PLANILHA] - 180D</t>
  </si>
  <si>
    <t>Lookalike 5% Brasil da Qualquer pessoa que visitou a página de OBRIGADO do Planilha nos últimos 180 dias</t>
  </si>
  <si>
    <t>View Vídeo Facebook e Instagram</t>
  </si>
  <si>
    <t>Lookalike (BR, 10%) - View Site - [OBRIGADO PLANILHA] - 180D</t>
  </si>
  <si>
    <t>View Site - [CHECKOUT] - 30D</t>
  </si>
  <si>
    <t>Lookalike 10% Brasil da Qualquer pessoa que visitou a página de OBRIGADO do Planilha nos últimos 180 dias</t>
  </si>
  <si>
    <t>Qualquer pessoa que visitou a página de CHECKOUT do Produto nos últimos 30 dias</t>
  </si>
  <si>
    <t>View Site - [CHECKOUT] - 60D</t>
  </si>
  <si>
    <t>Qualquer pessoa que visitou a página de CHECKOUT do Produto nos últimos 60 dias</t>
  </si>
  <si>
    <t>View Vídeo RAIZ no FACEBOOK</t>
  </si>
  <si>
    <t>View Site - [CHECKOUT] - 90D</t>
  </si>
  <si>
    <t>Qualquer pessoa que visitou a página de CHECKOUT do Produto nos últimos 90 dias</t>
  </si>
  <si>
    <t>View Site - [CHECKOUT] - 180D</t>
  </si>
  <si>
    <t>Qualquer pessoa que visitou a página de CHECKOUT do Produto nos últimos 180 dias</t>
  </si>
  <si>
    <t>View Site OBRIGADO COMPRA APROVADA</t>
  </si>
  <si>
    <t>Lookalike VIEW VÍDEO FACEBOOK E INSTAGRAM</t>
  </si>
  <si>
    <t>Experiência Instantânea</t>
  </si>
  <si>
    <t>[M] - FB - View Vídeo - [RAIZ] - 25% - 30D</t>
  </si>
  <si>
    <t>View Site - [COMPRA] - 30D</t>
  </si>
  <si>
    <t>Qualquer pessoa que assistiu 25% do vídeo RAIZ nos últimos 30 dias</t>
  </si>
  <si>
    <t>Qualquer pessoa que visitou a página de OBRIGADO COMPRA APROVADA do Produto nos últimos 30 dias</t>
  </si>
  <si>
    <t>Experiência Instantânea ABRIU</t>
  </si>
  <si>
    <t>View Site - [COMPRA] - 60D</t>
  </si>
  <si>
    <t>Qualquer pessoa que visitou a página de OBRIGADO COMPRA APROVADA do Produto nos últimos 60 dias</t>
  </si>
  <si>
    <t>Lookalike (BR, 1%) - [M] - FB/IG - View Vídeo - [RAIZ] - 25% - 60D</t>
  </si>
  <si>
    <t>View Site - [COMPRA] - 90D</t>
  </si>
  <si>
    <t>[M] - FB - View Vídeo - [RAIZ] - 25% - 60D</t>
  </si>
  <si>
    <t>Qualquer pessoa que visitou a página de OBRIGADO COMPRA APROVADA do Produto nos últimos 90 dias</t>
  </si>
  <si>
    <t>Lookalike 1% Brasil da Qualquer pessoa que assistiu 25% do vídeo RAIZ nos últimos 60 dias</t>
  </si>
  <si>
    <t>Qualquer pessoa que assistiu 25% do vídeo RAIZ nos últimos 60 dias</t>
  </si>
  <si>
    <t>View Site - [COMPRA] - 180D</t>
  </si>
  <si>
    <t>EI - [ABRIU] - 30D</t>
  </si>
  <si>
    <t>Qualquer pessoa que visitou a página de OBRIGADO COMPRA APROVADA do Produto nos últimos 180 dias</t>
  </si>
  <si>
    <t>Qualquer pessoa que ABRIU a Experiência Instantânea nos últimos 30 dias</t>
  </si>
  <si>
    <t>[M] - FB - View Vídeo - [RAIZ] - 25% - 90D</t>
  </si>
  <si>
    <t>Lookalike (BR, 2%) - [M] - FB/IG - View Vídeo - [RAIZ] - 25% - 60D</t>
  </si>
  <si>
    <t>View Site BLOG</t>
  </si>
  <si>
    <t>Qualquer pessoa que assistiu 25% do vídeo RAIZ nos últimos 90 dias</t>
  </si>
  <si>
    <t>Lookalike 2% Brasil da Qualquer pessoa que assistiu 25% do vídeo RAIZ nos últimos 60 dias</t>
  </si>
  <si>
    <t>EI - [ABRIU] - 60D</t>
  </si>
  <si>
    <t>Qualquer pessoa que ABRIU a Experiência Instantânea nos últimos 60 dias</t>
  </si>
  <si>
    <t>EI - [ABRIU] - 90D</t>
  </si>
  <si>
    <t>[M] - FB - View Vídeo - [RAIZ] - 25% - 180D</t>
  </si>
  <si>
    <t>Qualquer pessoa que ABRIU a Experiência Instantânea nos últimos 90 dias</t>
  </si>
  <si>
    <t>Lookalike (BR, 3%) - [M] - FB/IG - View Vídeo - [RAIZ] - 25% - 60D</t>
  </si>
  <si>
    <t>View Site - [BLOG] - 30D</t>
  </si>
  <si>
    <t>Qualquer pessoa que assistiu 25% do vídeo RAIZ nos últimos 180 dias</t>
  </si>
  <si>
    <t>Qualquer pessoa que visitou qualquer página do BLOG nos últimos 30 dias</t>
  </si>
  <si>
    <t>EI - [ABRIU] - 180D</t>
  </si>
  <si>
    <t>Lookalike 3% Brasil da Qualquer pessoa que assistiu 25% do vídeo RAIZ nos últimos 60 dias</t>
  </si>
  <si>
    <t>Qualquer pessoa que ABRIU a Experiência Instantânea nos últimos 180 dias</t>
  </si>
  <si>
    <t>Lookalike (BR, 4%) - [M] - FB/IG - View Vídeo - [RAIZ] - 25% - 60D</t>
  </si>
  <si>
    <t>EI - [ABRIU] - 365D</t>
  </si>
  <si>
    <t>View Site - [BLOG] - 60D</t>
  </si>
  <si>
    <t>Qualquer pessoa que ABRIU a Experiência Instantânea nos últimos 365 dias</t>
  </si>
  <si>
    <t>Qualquer pessoa que visitou qualquer página do BLOG nos últimos 60 dias</t>
  </si>
  <si>
    <t>Lookalike 4% Brasil da Qualquer pessoa que assistiu 25% do vídeo RAIZ nos últimos 60 dias</t>
  </si>
  <si>
    <t>[M] - FB - View Vídeo - [RAIZ] - 25% - 365D</t>
  </si>
  <si>
    <t>View Site - [BLOG] - 90D</t>
  </si>
  <si>
    <t>Qualquer pessoa que visitou qualquer página do BLOG nos últimos 90 dias</t>
  </si>
  <si>
    <t>View Site CAPTURA LANÇAMENTO</t>
  </si>
  <si>
    <t>Lookalike (BR, 5%) - [M] - FB/IG - View Vídeo - [RAIZ] - 25% - 60D</t>
  </si>
  <si>
    <t>View Site - [BLOG] - 180D</t>
  </si>
  <si>
    <t>Qualquer pessoa que visitou qualquer página do BLOG nos últimos 180 dias</t>
  </si>
  <si>
    <t>Lookalike 5% Brasil da Qualquer pessoa que assistiu 25% do vídeo RAIZ nos últimos 60 dias</t>
  </si>
  <si>
    <t>View Site CAPTURA LIVE</t>
  </si>
  <si>
    <t>Lookalike (BR, 10%) - [M] - FB/IG - View Vídeo - [RAIZ] - 25% - 60D</t>
  </si>
  <si>
    <t>EI - [CLICOU] - 30D</t>
  </si>
  <si>
    <t>Qualquer pessoa que CLICOU em qualquer LINK da Experiência Instantânea nos últimos 30 dias</t>
  </si>
  <si>
    <t>Lookalike 10% Brasil da Qualquer pessoa que assistiu 25% do vídeo RAIZ nos últimos 60 dias</t>
  </si>
  <si>
    <t>View Site - [CAPTURA LIVE] - 30D</t>
  </si>
  <si>
    <t>EI - [CLICOU] - 60D</t>
  </si>
  <si>
    <t>Qualquer pessoa que visitou a página de CAPTURA/INSCRIÇÃO da Live nos últimos 30 dias</t>
  </si>
  <si>
    <t>Qualquer pessoa que CLICOU em qualquer LINK da Experiência Instantânea nos últimos 60 dias</t>
  </si>
  <si>
    <t>EI - [CLICOU] - 90D</t>
  </si>
  <si>
    <t>View Site - [CAPTURA LIVE] - 60D</t>
  </si>
  <si>
    <t>Lookalike (BR, 1%) - [M] - FB/IG - View Vídeo - [RAIZ] - 50% - 60D</t>
  </si>
  <si>
    <t>Qualquer pessoa que CLICOU em qualquer LINK da Experiência Instantânea nos últimos 90 dias</t>
  </si>
  <si>
    <t>Qualquer pessoa que visitou a página de CAPTURA/INSCRIÇÃO da Live nos últimos 60 dias</t>
  </si>
  <si>
    <t>View Site - [CAPTURA LIVE] - 90D</t>
  </si>
  <si>
    <t>Qualquer pessoa que visitou a página de CAPTURA/INSCRIÇÃO da Live nos últimos 90 dias</t>
  </si>
  <si>
    <t>EI - [CLICOU] - 180D</t>
  </si>
  <si>
    <t>View Site - [CAPTURA LIVE] - 180D</t>
  </si>
  <si>
    <t>Qualquer pessoa que CLICOU em qualquer LINK da Experiência Instantânea nos últimos 180 dias</t>
  </si>
  <si>
    <t>Qualquer pessoa que visitou a página de CAPTURA/INSCRIÇÃO da Live nos últimos 180 dias</t>
  </si>
  <si>
    <t>View Site OBRIGADO LIVE</t>
  </si>
  <si>
    <t>EI - [CLICOU] - 365D</t>
  </si>
  <si>
    <t>Qualquer pessoa que CLICOU em qualquer LINK da Experiência Instantânea nos últimos 365 dias</t>
  </si>
  <si>
    <t>View Site - [OBRIGADO LIVE] - 30D</t>
  </si>
  <si>
    <t>Qualquer pessoa que visitou a página de OBRIGADO da Live nos últimos 30 dias</t>
  </si>
  <si>
    <t>View Site - [OBRIGADO LIVE] - 60D</t>
  </si>
  <si>
    <t>Qualquer pessoa que visitou a página de OBRIGADO da Live nos últimos 60 dias</t>
  </si>
  <si>
    <t>View Site - [OBRIGADO LIVE] - 90D</t>
  </si>
  <si>
    <t>Qualquer pessoa que visitou a página de OBRIGADO da Live nos últimos 90 dias</t>
  </si>
  <si>
    <t>View Site - [OBRIGADO LIVE] - 180D</t>
  </si>
  <si>
    <t>Qualquer pessoa que visitou a página de OBRIGADO da Live nos últimos 180 dias</t>
  </si>
  <si>
    <t>View Site CAPTURA E-BOOK</t>
  </si>
  <si>
    <t>Qualquer pessoa que assistiu 25% do vídeo RAIZ nos últimos 365 dias</t>
  </si>
  <si>
    <t>Lookalike 1% Brasil da Qualquer pessoa que assistiu 50% do vídeo RAIZ nos últimos 60 dias</t>
  </si>
  <si>
    <t>View Site - [CAPTURA EBOOK] - 30D</t>
  </si>
  <si>
    <t>Qualquer pessoa que visitou a página de CAPTURA/INSCRIÇÃO do E-book nos últimos 30 dias</t>
  </si>
  <si>
    <t>View Site - [CAPTURA EBOOK] - 60D</t>
  </si>
  <si>
    <t>Qualquer pessoa que visitou a página de CAPTURA/INSCRIÇÃO do E-book nos últimos 60 dias</t>
  </si>
  <si>
    <t>View Site - [CAPTURA EBOOK] - 90D</t>
  </si>
  <si>
    <t>Qualquer pessoa que visitou a página de CAPTURA/INSCRIÇÃO do E-book nos últimos 90 dias</t>
  </si>
  <si>
    <t>View Site - [CAPTURA EBOOK] - 180D</t>
  </si>
  <si>
    <t>Qualquer pessoa que visitou a página de CAPTURA/INSCRIÇÃO do E-book nos últimos 180 dias</t>
  </si>
  <si>
    <t>View Site OBRIGADO E-BOOK</t>
  </si>
  <si>
    <t>View Site - [OBRIGADO EBOOK] - 30D</t>
  </si>
  <si>
    <t>Qualquer pessoa que visitou a página de OBRIGADO do E-book nos últimos 30 dias</t>
  </si>
  <si>
    <t>View Site - [OBRIGADO EBOOK] - 60D</t>
  </si>
  <si>
    <t>Qualquer pessoa que visitou a página de OBRIGADO do E-book nos últimos 60 dias</t>
  </si>
  <si>
    <t>View Site - [OBRIGADO EBOOK] - 90D</t>
  </si>
  <si>
    <t>Qualquer pessoa que visitou a página de OBRIGADO do E-book nos últimos 90 dias</t>
  </si>
  <si>
    <t>View Site - [OBRIGADO EBOOK] - 180D</t>
  </si>
  <si>
    <t>Qualquer pessoa que visitou a página de OBRIGADO do E-book nos últimos 180 dias</t>
  </si>
  <si>
    <t>View Site CAPTURA PLANILHA</t>
  </si>
  <si>
    <t>View Site - [CAPTURA PLANILHA] - 30D</t>
  </si>
  <si>
    <t>Qualquer pessoa que visitou a página de CAPTURA/INSCRIÇÃO da Planilha nos últimos 30 dias</t>
  </si>
  <si>
    <t>View Site - [CAPTURA PLANILHA] - 60D</t>
  </si>
  <si>
    <t>Qualquer pessoa que visitou a página de CAPTURA/INSCRIÇÃO da Planilha nos últimos 60 dias</t>
  </si>
  <si>
    <t>View Site - [CAPTURA PLANILHA] - 90D</t>
  </si>
  <si>
    <t>Qualquer pessoa que visitou a página de CAPTURA/INSCRIÇÃO da Planilha nos últimos 90 dias</t>
  </si>
  <si>
    <t>View Site - [CAPTURA PLANILHA] - 180D</t>
  </si>
  <si>
    <t>Qualquer pessoa que visitou a página de CAPTURA/INSCRIÇÃO da Planilha nos últimos 180 dias</t>
  </si>
  <si>
    <t>View Site OBRIGADO PLANILHA</t>
  </si>
  <si>
    <t>View Site - [OBRIGADO PLANILHA] - 30D</t>
  </si>
  <si>
    <t>Qualquer pessoa que visitou a página de OBRIGADO do Planilha nos últimos 30 dias</t>
  </si>
  <si>
    <t>View Site - [OBRIGADO PLANILHA] - 60D</t>
  </si>
  <si>
    <t>Qualquer pessoa que visitou a página de OBRIGADO do Planilha nos últimos 60 dias</t>
  </si>
  <si>
    <t>View Site - [OBRIGADO PLANILHA] - 90D</t>
  </si>
  <si>
    <t>Qualquer pessoa que visitou a página de OBRIGADO do Planilha nos últimos 90 dias</t>
  </si>
  <si>
    <t>View Site - [OBRIGADO PLANILHA] - 180D</t>
  </si>
  <si>
    <t>Qualquer pessoa que visitou a página de OBRIGADO do Planilha nos últimos 180 dias</t>
  </si>
  <si>
    <t>View Site - Visitante do Site 25%</t>
  </si>
  <si>
    <t>[SITE] Visitantes do Site - 25% - 7D</t>
  </si>
  <si>
    <t>Os 25% das pessoas que mais gastaram tempo no Site nos últimos 7 dias</t>
  </si>
  <si>
    <t>[SITE] Visitantes do Site - 25% - 30D</t>
  </si>
  <si>
    <t>Os 25% das pessoas que mais gastaram tempo no Site nos últimos 30 dias</t>
  </si>
  <si>
    <t>[SITE] Visitantes do Site - 25% - 60D</t>
  </si>
  <si>
    <t>Os 25% das pessoas que mais gastaram tempo no Site nos últimos 60 dias</t>
  </si>
  <si>
    <t>[SITE] Visitantes do Site - 25% - 90D</t>
  </si>
  <si>
    <t>Os 25% das pessoas que mais gastaram tempo no Site nos últimos 90 dias</t>
  </si>
  <si>
    <t>[SITE] Visitantes do Site - 25% - 180D</t>
  </si>
  <si>
    <t>Os 25% das pessoas que mais gastaram tempo no Site nos últimos 180 dias</t>
  </si>
  <si>
    <t>[M] - FB - View Vídeo - [RAIZ] - 50% - 30D</t>
  </si>
  <si>
    <t>Qualquer pessoa que assistiu 50% do vídeo RAIZ nos últimos 30 dias</t>
  </si>
  <si>
    <t>Lookalike (BR, 2%) - [M] - FB/IG - View Vídeo - [RAIZ] - 50% - 60D</t>
  </si>
  <si>
    <t>Lookalike 2% Brasil da Qualquer pessoa que assistiu 50% do vídeo RAIZ nos últimos 60 dias</t>
  </si>
  <si>
    <t>[M] - FB - View Vídeo - [RAIZ] - 50% - 60D</t>
  </si>
  <si>
    <t>Qualquer pessoa que assistiu 50% do vídeo RAIZ nos últimos 60 dias</t>
  </si>
  <si>
    <t>Lookalike (BR, 3%) - [M] - FB/IG - View Vídeo - [RAIZ] - 50% - 60D</t>
  </si>
  <si>
    <t>[M] - FB - View Vídeo - [RAIZ] - 50% - 90D</t>
  </si>
  <si>
    <t>Lookalike 3% Brasil da Qualquer pessoa que assistiu 50% do vídeo RAIZ nos últimos 60 dias</t>
  </si>
  <si>
    <t>Qualquer pessoa que assistiu 50% do vídeo RAIZ nos últimos 90 dias</t>
  </si>
  <si>
    <t>Lookalike (BR, 4%) - [M] - FB/IG - View Vídeo - [RAIZ] - 50% - 60D</t>
  </si>
  <si>
    <t>Lookalike 4% Brasil da Qualquer pessoa que assistiu 50% do vídeo RAIZ nos últimos 60 dias</t>
  </si>
  <si>
    <t>[M] - FB - View Vídeo - [RAIZ] - 50% - 180D</t>
  </si>
  <si>
    <t>Qualquer pessoa que assistiu 50% do vídeo RAIZ nos últimos 180 dias</t>
  </si>
  <si>
    <t>Lookalike (BR, 5%) - [M] - FB/IG - View Vídeo - [RAIZ] - 50% - 60D</t>
  </si>
  <si>
    <t>[M] - FB - View Vídeo - [RAIZ] - 50% - 365D</t>
  </si>
  <si>
    <t>Lookalike 5% Brasil da Qualquer pessoa que assistiu 50% do vídeo RAIZ nos últimos 60 dias</t>
  </si>
  <si>
    <t>Qualquer pessoa que assistiu 50% do vídeo RAIZ nos últimos 365 dias</t>
  </si>
  <si>
    <t>Lookalike (BR, 10%) - [M] - FB/IG - View Vídeo - [RAIZ] - 50% - 60D</t>
  </si>
  <si>
    <t>Lookalike 10% Brasil da Qualquer pessoa que assistiu 50% do vídeo RAIZ nos últimos 60 dias</t>
  </si>
  <si>
    <t>Lookalike (BR, 1%) - [M] - FB/IG - View Vídeo - [NUTELLA] - 95% - 60D</t>
  </si>
  <si>
    <t>[M] - FB - View Vídeo - [RAIZ] - 75% - 30D</t>
  </si>
  <si>
    <t>Qualquer pessoa que assistiu 75% do vídeo RAIZ nos últimos 30 dias</t>
  </si>
  <si>
    <t>Lookalike 1% Brasil da Qualquer pessoa que assistiu 95% do vídeo NUTELLA nos últimos 60 dias</t>
  </si>
  <si>
    <t>[M] - FB - View Vídeo - [RAIZ] - 75% - 60D</t>
  </si>
  <si>
    <t>Qualquer pessoa que assistiu 75% do vídeo RAIZ nos últimos 60 dias</t>
  </si>
  <si>
    <t>Lookalike (BR, 2%) - [M] - FB/IG - View Vídeo - [NUTELLA] - 95% - 60D</t>
  </si>
  <si>
    <t>Lookalike 2% Brasil da Qualquer pessoa que assistiu 95% do vídeo NUTELLA nos últimos 60 dias</t>
  </si>
  <si>
    <t>[M] - FB - View Vídeo - [RAIZ] - 75% - 90D</t>
  </si>
  <si>
    <t>Lookalike (BR, 3%) - [M] - FB/IG - View Vídeo - [NUTELLA] - 95% - 60D</t>
  </si>
  <si>
    <t>Qualquer pessoa que assistiu 75% do vídeo RAIZ nos últimos 90 dias</t>
  </si>
  <si>
    <t>Lookalike 3% Brasil da Qualquer pessoa que assistiu 95% do vídeo NUTELLA nos últimos 60 dias</t>
  </si>
  <si>
    <t>[M] - FB - View Vídeo - [RAIZ] - 75% - 180D</t>
  </si>
  <si>
    <t>Lookalike (BR, 4%) - [M] - FB/IG - View Vídeo - [NUTELLA] - 95% - 60D</t>
  </si>
  <si>
    <t>Lookalike 4% Brasil da Qualquer pessoa que assistiu 95% do vídeo NUTELLA nos últimos 60 dias</t>
  </si>
  <si>
    <t>Qualquer pessoa que assistiu 75% do vídeo RAIZ nos últimos 180 dias</t>
  </si>
  <si>
    <t>Lookalike (BR, 5%) - [M] - FB/IG - View Vídeo - [NUTELLA] - 95% - 60D</t>
  </si>
  <si>
    <t>[M] - FB - View Vídeo - [RAIZ] - 75% - 365D</t>
  </si>
  <si>
    <t>Lookalike 5% Brasil da Qualquer pessoa que assistiu 95% do vídeo NUTELLA nos últimos 60 dias</t>
  </si>
  <si>
    <t>Lookalike (BR, 10%) - [M] - FB/IG - View Vídeo - [NUTELLA] - 95% - 60D</t>
  </si>
  <si>
    <t>Qualquer pessoa que assistiu 75% do vídeo RAIZ nos últimos 365 dias</t>
  </si>
  <si>
    <t>Lookalike 10% Brasil da Qualquer pessoa que assistiu 95% do vídeo NUTELLA nos últimos 60 dias</t>
  </si>
  <si>
    <t>Lookalike (BR, 1%) - [M] - FB/IG - View Vídeo - [Q&amp;A] - 75% - 60D</t>
  </si>
  <si>
    <t>Lookalike 1% Brasil da Qualquer pessoa que assistiu 75% do vídeo Q&amp;A nos últimos 60 dias</t>
  </si>
  <si>
    <t>[M] - FB - View Vídeo - [RAIZ] - 95% - 30D</t>
  </si>
  <si>
    <t>Qualquer pessoa que assistiu 95% do vídeo RAIZ nos últimos 30 dias</t>
  </si>
  <si>
    <t>Lookalike (BR, 2%) - [M] - FB/IG - View Vídeo - [Q&amp;A] - 75% - 60D</t>
  </si>
  <si>
    <t>Lookalike 2% Brasil da Qualquer pessoa que assistiu 75% do vídeo Q&amp;A nos últimos 60 dias</t>
  </si>
  <si>
    <t>[M] - FB - View Vídeo - [RAIZ] - 95% - 60D</t>
  </si>
  <si>
    <t>Qualquer pessoa que assistiu 95% do vídeo RAIZ nos últimos 60 dias</t>
  </si>
  <si>
    <t>Lookalike (BR, 3%) - [M] - FB/IG - View Vídeo - [Q&amp;A] - 75% - 60D</t>
  </si>
  <si>
    <t>Lookalike 3% Brasil da Qualquer pessoa que assistiu 75% do vídeo Q&amp;A nos últimos 60 dias</t>
  </si>
  <si>
    <t>[M] - FB - View Vídeo - [RAIZ] - 95% - 90D</t>
  </si>
  <si>
    <t>Lookalike (BR, 4%) - [M] - FB/IG - View Vídeo - [Q&amp;A] - 75% - 60D</t>
  </si>
  <si>
    <t>Qualquer pessoa que assistiu 95% do vídeo RAIZ nos últimos 90 dias</t>
  </si>
  <si>
    <t>Lookalike 4% Brasil da Qualquer pessoa que assistiu 75% do vídeo Q&amp;A nos últimos 60 dias</t>
  </si>
  <si>
    <t>[M] - FB - View Vídeo - [RAIZ] - 95% - 180D</t>
  </si>
  <si>
    <t>Lookalike (BR, 5%) - [M] - FB/IG - View Vídeo - [Q&amp;A] - 75% - 60D</t>
  </si>
  <si>
    <t>Qualquer pessoa que assistiu 95% do vídeo RAIZ nos últimos 180 dias</t>
  </si>
  <si>
    <t>Lookalike 5% Brasil da Qualquer pessoa que assistiu 75% do vídeo Q&amp;A nos últimos 60 dias</t>
  </si>
  <si>
    <t>[M] - FB - View Vídeo - [RAIZ] - 95% - 365D</t>
  </si>
  <si>
    <t>Lookalike (BR, 10%) - [M] - FB/IG - View Vídeo - [Q&amp;A] - 75% - 60D</t>
  </si>
  <si>
    <t>Qualquer pessoa que assistiu 95% do vídeo RAIZ nos últimos 365 dias</t>
  </si>
  <si>
    <t>Lookalike 10% Brasil da Qualquer pessoa que assistiu 75% do vídeo Q&amp;A nos últimos 60 dias</t>
  </si>
  <si>
    <t>Lookalike LISTA</t>
  </si>
  <si>
    <t>View Vídeo RAIZ no INSTAGRAM</t>
  </si>
  <si>
    <t>Semelhante (BR, 1%) - [LISTA] [M] [05.11] Lista de Clientes - LTV</t>
  </si>
  <si>
    <t>Lookalike 1% Brasil da Lista completa de LEADS</t>
  </si>
  <si>
    <t>[M] - IG - View Vídeo - [RAIZ] - 25% - 30D</t>
  </si>
  <si>
    <t>Lookalike (BR, 2%) - [M] - Lista - [LEADS] - DATA DA ATUALIZAÇÃO</t>
  </si>
  <si>
    <t>[M] - IG - View Vídeo - [RAIZ] - 25% - 60D</t>
  </si>
  <si>
    <t>Lookalike 2% Brasil da Lista completa de LEADS</t>
  </si>
  <si>
    <t>[M] - IG - View Vídeo - [RAIZ] - 25% - 90D</t>
  </si>
  <si>
    <t>Lookalike (BR, 3%) - [M] - Lista - [LEADS] - DATA DA ATUALIZAÇÃO</t>
  </si>
  <si>
    <t>Lookalike 3% Brasil da Lista completa de LEADS</t>
  </si>
  <si>
    <t>Lookalike (BR, 4%) - [M] - Lista - [LEADS] - DATA DA ATUALIZAÇÃO</t>
  </si>
  <si>
    <t>Lookalike 4% Brasil da Lista completa de LEADS</t>
  </si>
  <si>
    <t>[M] - IG - View Vídeo - [RAIZ] - 25% - 180D</t>
  </si>
  <si>
    <t>Lookalike (BR, 5%) - [M] - Lista - [LEADS] - DATA DA ATUALIZAÇÃO</t>
  </si>
  <si>
    <t>Lookalike 5% Brasil da Lista completa de LEADS</t>
  </si>
  <si>
    <t>[M] - IG - View Vídeo - [RAIZ] - 25% - 365D</t>
  </si>
  <si>
    <t>Lookalike (BR, 1%) - [M] - Lista - [CLIENTES] - DATA DA ATUALIZAÇÃO</t>
  </si>
  <si>
    <t>[M] - IG - View Vídeo - [RAIZ] - 50% - 30D</t>
  </si>
  <si>
    <t>Lookalike 1% Brasil da Lista completa de CLIENTES</t>
  </si>
  <si>
    <t>Lookalike (BR, 2%) - [M] - Lista - [CLIENTES] - DATA DA ATUALIZAÇÃO</t>
  </si>
  <si>
    <t>Lookalike 2% Brasil da Lista completa de CLIENTES</t>
  </si>
  <si>
    <t>[M] - IG - View Vídeo - [RAIZ] - 50% - 60D</t>
  </si>
  <si>
    <t>[M] - IG - View Vídeo - [RAIZ] - 50% - 90D</t>
  </si>
  <si>
    <t>Lookalike (BR, 3%) - [M] - Lista - [CLIENTES] - DATA DA ATUALIZAÇÃO</t>
  </si>
  <si>
    <t>Lookalike 3% Brasil da Lista completa de CLIENTES</t>
  </si>
  <si>
    <t>Lookalike (BR, 4%) - [M] - Lista - [CLIENTES] - DATA DA ATUALIZAÇÃO</t>
  </si>
  <si>
    <t>[M] - IG - View Vídeo - [RAIZ] - 50% - 180D</t>
  </si>
  <si>
    <t>Lookalike 4% Brasil da Lista completa de CLIENTES</t>
  </si>
  <si>
    <t>[M] - IG - View Vídeo - [RAIZ] - 50% - 365D</t>
  </si>
  <si>
    <t>Lookalike (BR, 5%) - [M] - Lista - [CLIENTES] - DATA DA ATUALIZAÇÃO</t>
  </si>
  <si>
    <t>Lookalike 5% Brasil da Lista completa de CLIENTES</t>
  </si>
  <si>
    <t>[M] - IG - View Vídeo - [RAIZ] - 75% - 30D</t>
  </si>
  <si>
    <t>Lookalike (BR, 1%) - [M] - Lista - [POTENCIAIS] - DATA DA ATUALIZAÇÃO</t>
  </si>
  <si>
    <t>Lookalike 1% Brasil da Lista completa de CLIENTES EM POTENCIAIS</t>
  </si>
  <si>
    <t>Lookalike (BR, 2%) - [M] - Lista - [POTENCIAIS] - DATA DA ATUALIZAÇÃO</t>
  </si>
  <si>
    <t>[M] - IG - View Vídeo - [RAIZ] - 75% - 60D</t>
  </si>
  <si>
    <t>Lookalike 2% Brasil da Lista completa de CLIENTES EM POTENCIAIS</t>
  </si>
  <si>
    <t>Lookalike (BR, 3%) - [M] - Lista - [POTENCIAIS] - DATA DA ATUALIZAÇÃO</t>
  </si>
  <si>
    <t>[M] - IG - View Vídeo - [RAIZ] - 75% - 90D</t>
  </si>
  <si>
    <t>Lookalike 3% Brasil da Lista completa de CLIENTES EM POTENCIAIS</t>
  </si>
  <si>
    <t>Lookalike (BR, 4%) - [M] - Lista - [POTENCIAIS] - DATA DA ATUALIZAÇÃO</t>
  </si>
  <si>
    <t>[M] - IG - View Vídeo - [RAIZ] - 75% - 180D</t>
  </si>
  <si>
    <t>Lookalike 4% Brasil da Lista completa de CLIENTES EM POTENCIAIS</t>
  </si>
  <si>
    <t>Lookalike (BR, 5%) - [M] - Lista - [POTENCIAIS] - DATA DA ATUALIZAÇÃO</t>
  </si>
  <si>
    <t>Lookalike 5% Brasil da Lista completa de CLIENTES EM POTENCIAIS</t>
  </si>
  <si>
    <t>[M] - IG - View Vídeo - [RAIZ] - 75% - 365D</t>
  </si>
  <si>
    <t>Lookalike (BR, 10%) - [M] - Lista - [POTENCIAIS] - DATA DA ATUALIZAÇÃO</t>
  </si>
  <si>
    <t>Lookalike 10% Brasil da Lista completa de CLIENTES EM POTENCIAIS</t>
  </si>
  <si>
    <t>[M] - IG - View Vídeo - [RAIZ] - 95% - 30D</t>
  </si>
  <si>
    <t>Lookalike (BR, 1%) - [M] - Lista - [LANÇAMENTO] - DATA DA ATUALIZAÇÃO</t>
  </si>
  <si>
    <t>Lookalike 1% Brasil da Lista completa de LEADS cadastradas para um LANÇAMENTO</t>
  </si>
  <si>
    <t>[M] - IG - View Vídeo - [RAIZ] - 95% - 60D</t>
  </si>
  <si>
    <t>Lookalike (BR, 2%) - [M] - Lista - [LANÇAMENTO] - DATA DA ATUALIZAÇÃO</t>
  </si>
  <si>
    <t>[M] - IG - View Vídeo - [RAIZ] - 95% - 90D</t>
  </si>
  <si>
    <t>Lookalike 2% Brasil da Lista completa de LEADS cadastradas para um LANÇAMENTO</t>
  </si>
  <si>
    <t>Lookalike (BR, 3%) - [M] - Lista - [LANÇAMENTO] - DATA DA ATUALIZAÇÃO</t>
  </si>
  <si>
    <t>Lookalike 3% Brasil da Lista completa de LEADS cadastradas para um LANÇAMENTO</t>
  </si>
  <si>
    <t>[M] - IG - View Vídeo - [RAIZ] - 95% - 180D</t>
  </si>
  <si>
    <t>Lookalike (BR, 4%) - [M] - Lista - [LANÇAMENTO] - DATA DA ATUALIZAÇÃO</t>
  </si>
  <si>
    <t>Lookalike 4% Brasil da Lista completa de LEADS cadastradas para um LANÇAMENTO</t>
  </si>
  <si>
    <t>[M] - IG - View Vídeo - [RAIZ] - 95% - 365D</t>
  </si>
  <si>
    <t>Lookalike (BR, 5%) - [M] - Lista - [LANÇAMENTO] - DATA DA ATUALIZAÇÃO</t>
  </si>
  <si>
    <t>Lookalike 5% Brasil da Lista completa de LEADS cadastradas para um LANÇAMENTO</t>
  </si>
  <si>
    <t>Lookalike (BR, 10%) - [M] - Lista - [LANÇAMENTO] - DATA DA ATUALIZAÇÃO</t>
  </si>
  <si>
    <t>Lookalike 10% Brasil da Lista completa de LEADS cadastradas para um LANÇAMENTO</t>
  </si>
  <si>
    <t>View Vídeo RAIZ no FACEBOOK + INSTAGRAM</t>
  </si>
  <si>
    <t>[M] - FB/IG - View Vídeo - [RAIZ] - 25% - 30D</t>
  </si>
  <si>
    <t>[M] - FB/IG - View Vídeo - [RAIZ] - 25% - 60D</t>
  </si>
  <si>
    <t>Lookalike (BR, 1%) - [M] - Lista - [LIVES] - DATA DA ATUALIZAÇÃO</t>
  </si>
  <si>
    <t>Lookalike 1% Brasil da Lista completa de LEADS cadastradas para LIVES SEMANAIS</t>
  </si>
  <si>
    <t>[M] - FB/IG - View Vídeo - [RAIZ] - 25% - 90D</t>
  </si>
  <si>
    <t>Lookalike (BR, 2%) - [M] - Lista - [LIVES] - DATA DA ATUALIZAÇÃO</t>
  </si>
  <si>
    <t>Lookalike 2% Brasil da Lista completa de LEADS cadastradas para LIVES SEMANAIS</t>
  </si>
  <si>
    <t>[M] - FB/IG - View Vídeo - [RAIZ] - 25% - 180D</t>
  </si>
  <si>
    <t>Lookalike (BR, 3%) - [M] - Lista - [LIVES] - DATA DA ATUALIZAÇÃO</t>
  </si>
  <si>
    <t>Lookalike 3% Brasil da Lista completa de LEADS cadastradas para LIVES SEMANAIS</t>
  </si>
  <si>
    <t>[M] - FB/IG - View Vídeo - [RAIZ] - 25% - 365D</t>
  </si>
  <si>
    <t>Lookalike (BR, 4%) - [M] - Lista - [LIVES] - DATA DA ATUALIZAÇÃO</t>
  </si>
  <si>
    <t>Lookalike 4% Brasil da Lista completa de LEADS cadastradas para LIVES SEMANAIS</t>
  </si>
  <si>
    <t>Lookalike (BR, 5%) - [M] - Lista - [LIVES] - DATA DA ATUALIZAÇÃO</t>
  </si>
  <si>
    <t>Lookalike 5% Brasil da Lista completa de LEADS cadastradas para LIVES SEMANAIS</t>
  </si>
  <si>
    <t>[M] - FB/IG - View Vídeo - [RAIZ] - 50% - 30D</t>
  </si>
  <si>
    <t>Lookalike (BR, 10%) - [M] - Lista - [LIVES] - DATA DA ATUALIZAÇÃO</t>
  </si>
  <si>
    <t>Lookalike 10% Brasil da Lista completa de LEADS cadastradas para LIVES SEMANAIS</t>
  </si>
  <si>
    <t>[M] - FB/IG - View Vídeo - [RAIZ] - 50% - 60D</t>
  </si>
  <si>
    <t>Lookalike (BR, 1%) - [M] - Lista - [EBOOK] - DATA DA ATUALIZAÇÃO</t>
  </si>
  <si>
    <t>Lookalike 1% Brasil da Lista completa de LEADS cadastradas para receber o E-BOOK</t>
  </si>
  <si>
    <t>[M] - FB/IG - View Vídeo - [RAIZ] - 50% - 90D</t>
  </si>
  <si>
    <t>Lookalike (BR, 2%) - [M] - Lista - [EBOOK] - DATA DA ATUALIZAÇÃO</t>
  </si>
  <si>
    <t>Lookalike 2% Brasil da Lista completa de LEADS cadastradas para receber o E-BOOK</t>
  </si>
  <si>
    <t>[M] - FB/IG - View Vídeo - [RAIZ] - 50% - 180D</t>
  </si>
  <si>
    <t>Lookalike (BR, 3%) - [M] - Lista - [EBOOK] - DATA DA ATUALIZAÇÃO</t>
  </si>
  <si>
    <t>Lookalike 3% Brasil da Lista completa de LEADS cadastradas para receber o E-BOOK</t>
  </si>
  <si>
    <t>[M] - FB/IG - View Vídeo - [RAIZ] - 50% - 365D</t>
  </si>
  <si>
    <t>Lookalike (BR, 4%) - [M] - Lista - [EBOOK] - DATA DA ATUALIZAÇÃO</t>
  </si>
  <si>
    <t>Lookalike 4% Brasil da Lista completa de LEADS cadastradas para receber o E-BOOK</t>
  </si>
  <si>
    <t>Lookalike (BR, 5%) - [M] - Lista - [EBOOK] - DATA DA ATUALIZAÇÃO</t>
  </si>
  <si>
    <t>Lookalike 5% Brasil da Lista completa de LEADS cadastradas para receber o E-BOOK</t>
  </si>
  <si>
    <t>[M] - FB/IG - View Vídeo - [RAIZ] - 75% - 30D</t>
  </si>
  <si>
    <t>Lookalike (BR, 10%) - [M] - Lista - [EBOOK] - DATA DA ATUALIZAÇÃO</t>
  </si>
  <si>
    <t>Lookalike 10% Brasil da Lista completa de LEADS cadastradas para receber o E-BOOK</t>
  </si>
  <si>
    <t>[M] - FB/IG - View Vídeo - [RAIZ] - 75% - 60D</t>
  </si>
  <si>
    <t>Lookalike (BR, 1%) - [M] - Lista - [PLANILHA] - DATA DA ATUALIZAÇÃO</t>
  </si>
  <si>
    <t>[M] - FB/IG - View Vídeo - [RAIZ] - 75% - 90D</t>
  </si>
  <si>
    <t>Lookalike 1% Brasil da Lista completa de LEADS cadastradas para receber a PLANILHA</t>
  </si>
  <si>
    <t>[M] - FB/IG - View Vídeo - [RAIZ] - 75% - 180D</t>
  </si>
  <si>
    <t>Lookalike (BR, 2%) - [M] - Lista - [PLANILHA] - DATA DA ATUALIZAÇÃO</t>
  </si>
  <si>
    <t>[M] - FB/IG - View Vídeo - [RAIZ] - 75% - 365D</t>
  </si>
  <si>
    <t>Lookalike 2% Brasil da Lista completa de LEADS cadastradas para receber a PLANILHA</t>
  </si>
  <si>
    <t>Lookalike (BR, 3%) - [M] - Lista - [PLANILHA] - DATA DA ATUALIZAÇÃO</t>
  </si>
  <si>
    <t>Lookalike 3% Brasil da Lista completa de LEADS cadastradas para receber a PLANILHA</t>
  </si>
  <si>
    <t>Lookalike (BR, 4%) - [M] - Lista - [PLANILHA] - DATA DA ATUALIZAÇÃO</t>
  </si>
  <si>
    <t>[M] - FB/IG - View Vídeo - [RAIZ] - 95% - 30D</t>
  </si>
  <si>
    <t>Lookalike 4% Brasil da Lista completa de LEADS cadastradas para receber a PLANILHA</t>
  </si>
  <si>
    <t>Lookalike (BR, 5%) - [M] - Lista - [PLANILHA] - DATA DA ATUALIZAÇÃO</t>
  </si>
  <si>
    <t>Lookalike 5% Brasil da Lista completa de LEADS cadastradas para receber a PLANILHA</t>
  </si>
  <si>
    <t>[M] - FB/IG - View Vídeo - [RAIZ] - 95% - 60D</t>
  </si>
  <si>
    <t>Lookalike (BR, 10%) - [M] - Lista - [PLANILHA] - DATA DA ATUALIZAÇÃO</t>
  </si>
  <si>
    <t>Lookalike 10% Brasil da Lista completa de LEADS cadastradas para receber a PLANILHA</t>
  </si>
  <si>
    <t>[M] - FB/IG - View Vídeo - [RAIZ] - 95% - 90D</t>
  </si>
  <si>
    <t>Lookalike EXPERIÊNCIA INSTANTÂNEA</t>
  </si>
  <si>
    <t>[M] - FB/IG - View Vídeo - [RAIZ] - 95% - 180D</t>
  </si>
  <si>
    <t>Lookalike (BR, 1%) - EI - [CLICOU] - 60D</t>
  </si>
  <si>
    <t>[M] - FB/IG - View Vídeo - [RAIZ] - 95% - 365D</t>
  </si>
  <si>
    <t>Lookalike 1% Brasil da Qualquer pessoa que CLICOU em qualquer LINK da Experiência Instantânea nos últimos 60 dias</t>
  </si>
  <si>
    <t>View Vídeo NUTELLA no FACEBOOK</t>
  </si>
  <si>
    <t>Lookalike (BR, 2%) - EI - [CLICOU] - 60D</t>
  </si>
  <si>
    <t>Lookalike 2% Brasil da Qualquer pessoa que CLICOU em qualquer LINK da Experiência Instantânea nos últimos 60 dias</t>
  </si>
  <si>
    <t>Lookalike (BR, 3%) - EI - [CLICOU] - 60D</t>
  </si>
  <si>
    <t>Lookalike 3% Brasil da Qualquer pessoa que CLICOU em qualquer LINK da Experiência Instantânea nos últimos 60 dias</t>
  </si>
  <si>
    <t>Lookalike (BR, 4%) - EI - [CLICOU] - 60D</t>
  </si>
  <si>
    <t>Lookalike 4% Brasil da Qualquer pessoa que CLICOU em qualquer LINK da Experiência Instantânea nos últimos 60 dias</t>
  </si>
  <si>
    <t>Lookalike (BR, 5%) - EI - [CLICOU] - 60D</t>
  </si>
  <si>
    <t>[M] - FB - View Vídeo - [NUTELLA] - 25% - 30D</t>
  </si>
  <si>
    <t>Lookalike 5% Brasil da Qualquer pessoa que CLICOU em qualquer LINK da Experiência Instantânea nos últimos 60 dias</t>
  </si>
  <si>
    <t>Qualquer pessoa que assistiu 25% do vídeo NUTELLA nos últimos 30 dias</t>
  </si>
  <si>
    <t>Lookalike (BR, 10%) - EI - [CLICOU] - 60D</t>
  </si>
  <si>
    <t>Lookalike 10% Brasil da Qualquer pessoa que CLICOU em qualquer LINK da Experiência Instantânea nos últimos 60 dias</t>
  </si>
  <si>
    <t>Lookalike FORMULÁRIO DE CADASTRO</t>
  </si>
  <si>
    <t>[M] - FB - View Vídeo - [NUTELLA] - 25% - 60D</t>
  </si>
  <si>
    <t>Qualquer pessoa que assistiu 25% do vídeo NUTELLA nos últimos 60 dias</t>
  </si>
  <si>
    <t>[M] - FB - View Vídeo - [NUTELLA] - 25% - 90D</t>
  </si>
  <si>
    <t>Qualquer pessoa que assistiu 25% do vídeo NUTELLA nos últimos 90 dias</t>
  </si>
  <si>
    <t>Lookalike (BR, 1%) - Formulário - [ENVIOU] - 60D</t>
  </si>
  <si>
    <t>Lookalike 1% Brasil da Qualquer pessoa que ABRIU e ENVIOU qualquer Formulário nos últimos 60 dias</t>
  </si>
  <si>
    <t>[M] - FB - View Vídeo - [NUTELLA] - 25% - 180D</t>
  </si>
  <si>
    <t>Qualquer pessoa que assistiu 25% do vídeo NUTELLA nos últimos 180 dias</t>
  </si>
  <si>
    <t>Lookalike (BR, 2%) - Formulário - [ENVIOU] - 60D</t>
  </si>
  <si>
    <t>Lookalike 2% Brasil da Qualquer pessoa que ABRIU e ENVIOU qualquer Formulário nos últimos 60 dias</t>
  </si>
  <si>
    <t>Lookalike (BR, 3%) - Formulário - [ENVIOU] - 60D</t>
  </si>
  <si>
    <t>[M] - FB - View Vídeo - [NUTELLA] - 25% - 365D</t>
  </si>
  <si>
    <t>Qualquer pessoa que assistiu 25% do vídeo NUTELLA nos últimos 365 dias</t>
  </si>
  <si>
    <t>Lookalike 3% Brasil da Qualquer pessoa que ABRIU e ENVIOU qualquer Formulário nos últimos 60 dias</t>
  </si>
  <si>
    <t>Lookalike (BR, 4%) - Formulário - [ENVIOU] - 60D</t>
  </si>
  <si>
    <t>[M] - FB - View Vídeo - [NUTELLA] - 50% - 30D</t>
  </si>
  <si>
    <t>Lookalike 4% Brasil da Qualquer pessoa que ABRIU e ENVIOU qualquer Formulário nos últimos 60 dias</t>
  </si>
  <si>
    <t>Qualquer pessoa que assistiu 50% do vídeo NUTELLA nos últimos 30 dias</t>
  </si>
  <si>
    <t>Lookalike (BR, 5%) - Formulário - [ENVIOU] - 60D</t>
  </si>
  <si>
    <t>Lookalike 5% Brasil da Qualquer pessoa que ABRIU e ENVIOU qualquer Formulário nos últimos 60 dias</t>
  </si>
  <si>
    <t>[M] - FB - View Vídeo - [NUTELLA] - 50% - 60D</t>
  </si>
  <si>
    <t>Qualquer pessoa que assistiu 50% do vídeo NUTELLA nos últimos 60 dias</t>
  </si>
  <si>
    <t>Lookalike (BR, 10%) - Formulário - [ENVIOU] - 60D</t>
  </si>
  <si>
    <t>Lookalike 10% Brasil da Qualquer pessoa que ABRIU e ENVIOU qualquer Formulário nos últimos 60 dias</t>
  </si>
  <si>
    <t>[M] - FB - View Vídeo - [NUTELLA] - 50% - 90D</t>
  </si>
  <si>
    <t>Qualquer pessoa que assistiu 50% do vídeo NUTELLA nos últimos 90 dias</t>
  </si>
  <si>
    <t>[M] - FB - View Vídeo - [NUTELLA] - 50% - 180D</t>
  </si>
  <si>
    <t>Qualquer pessoa que assistiu 50% do vídeo NUTELLA nos últimos 180 dias</t>
  </si>
  <si>
    <t>[M] - FB - View Vídeo - [NUTELLA] - 50% - 365D</t>
  </si>
  <si>
    <t>Qualquer pessoa que assistiu 50% do vídeo NUTELLA nos últimos 365 dias</t>
  </si>
  <si>
    <t>[M] - FB - View Vídeo - [NUTELLA] - 75% - 30D</t>
  </si>
  <si>
    <t>Qualquer pessoa que assistiu 75% do vídeo NUTELLA nos últimos 30 dias</t>
  </si>
  <si>
    <t>[M] - FB - View Vídeo - [NUTELLA] - 75% - 60D</t>
  </si>
  <si>
    <t>Qualquer pessoa que assistiu 75% do vídeo NUTELLA nos últimos 60 dias</t>
  </si>
  <si>
    <t>[M] - FB - View Vídeo - [NUTELLA] - 75% - 90D</t>
  </si>
  <si>
    <t>Qualquer pessoa que assistiu 75% do vídeo NUTELLA nos últimos 90 dias</t>
  </si>
  <si>
    <t>[M] - FB - View Vídeo - [NUTELLA] - 75% - 180D</t>
  </si>
  <si>
    <t>Qualquer pessoa que assistiu 75% do vídeo NUTELLA nos últimos 180 dias</t>
  </si>
  <si>
    <t>[M] - FB - View Vídeo - [NUTELLA] - 75% - 365D</t>
  </si>
  <si>
    <t>Qualquer pessoa que assistiu 75% do vídeo NUTELLA nos últimos 365 dias</t>
  </si>
  <si>
    <t>[M] - FB - View Vídeo - [NUTELLA] - 95% - 30D</t>
  </si>
  <si>
    <t>Qualquer pessoa que assistiu 95% do vídeo NUTELLA nos últimos 30 dias</t>
  </si>
  <si>
    <t>[M] - FB - View Vídeo - [NUTELLA] - 95% - 60D</t>
  </si>
  <si>
    <t>Qualquer pessoa que assistiu 95% do vídeo NUTELLA nos últimos 60 dias</t>
  </si>
  <si>
    <t>[M] - FB - View Vídeo - [NUTELLA] - 95% - 90D</t>
  </si>
  <si>
    <t>Qualquer pessoa que assistiu 95% do vídeo NUTELLA nos últimos 90 dias</t>
  </si>
  <si>
    <t>[M] - FB - View Vídeo - [NUTELLA] - 95% - 180D</t>
  </si>
  <si>
    <t>Qualquer pessoa que assistiu 95% do vídeo NUTELLA nos últimos 180 dias</t>
  </si>
  <si>
    <t>[M] - FB - View Vídeo - [NUTELLA] - 95% - 365D</t>
  </si>
  <si>
    <t>Qualquer pessoa que assistiu 95% do vídeo NUTELLA nos últimos 365 dias</t>
  </si>
  <si>
    <t>View Vídeo NUTELLA no INSTAGRAM</t>
  </si>
  <si>
    <t>[M] - IG - View Vídeo - [NUTELLA] - 25% - 30D</t>
  </si>
  <si>
    <t>[M] - IG - View Vídeo - [NUTELLA] - 25% - 60D</t>
  </si>
  <si>
    <t>[M] - IG - View Vídeo - [NUTELLA] - 25% - 90D</t>
  </si>
  <si>
    <t>[M] - IG - View Vídeo - [NUTELLA] - 25% - 180D</t>
  </si>
  <si>
    <t>[M] - IG - View Vídeo - [NUTELLA] - 25% - 365D</t>
  </si>
  <si>
    <t>[M] - IG - View Vídeo - [NUTELLA] - 50% - 30D</t>
  </si>
  <si>
    <t>[M] - IG - View Vídeo - [NUTELLA] - 50% - 60D</t>
  </si>
  <si>
    <t>[M] - IG - View Vídeo - [NUTELLA] - 50% - 90D</t>
  </si>
  <si>
    <t>[M] - IG - View Vídeo - [NUTELLA] - 50% - 180D</t>
  </si>
  <si>
    <t>[M] - IG - View Vídeo - [NUTELLA] - 50% - 365D</t>
  </si>
  <si>
    <t>[M] - IG - View Vídeo - [NUTELLA] - 75% - 30D</t>
  </si>
  <si>
    <t>[M] - IG - View Vídeo - [NUTELLA] - 75% - 60D</t>
  </si>
  <si>
    <t>[M] - IG - View Vídeo - [NUTELLA] - 75% - 90D</t>
  </si>
  <si>
    <t>[M] - IG - View Vídeo - [NUTELLA] - 75% - 180D</t>
  </si>
  <si>
    <t>[M] - IG - View Vídeo - [NUTELLA] - 75% - 365D</t>
  </si>
  <si>
    <t>[M] - IG - View Vídeo - [NUTELLA] - 95% - 30D</t>
  </si>
  <si>
    <t>[M] - IG - View Vídeo - [NUTELLA] - 95% - 60D</t>
  </si>
  <si>
    <t>[M] - IG - View Vídeo - [NUTELLA] - 95% - 90D</t>
  </si>
  <si>
    <t>[M] - IG - View Vídeo - [NUTELLA] - 95% - 180D</t>
  </si>
  <si>
    <t>[M] - IG - View Vídeo - [NUTELLA] - 95% - 365D</t>
  </si>
  <si>
    <t>View Vídeo NUTELLA no FACEBOOK + INSTAGRAM</t>
  </si>
  <si>
    <t>[M] - FB/IG - View Vídeo - [NUTELLA] - 25% - 30D</t>
  </si>
  <si>
    <t>[M] - FB/IG - View Vídeo - [NUTELLA] - 25% - 60D</t>
  </si>
  <si>
    <t>[M] - FB/IG - View Vídeo - [NUTELLA] - 25% - 90D</t>
  </si>
  <si>
    <t>[M] - FB/IG - View Vídeo - [NUTELLA] - 25% - 180D</t>
  </si>
  <si>
    <t>[M] - FB/IG - View Vídeo - [NUTELLA] - 25% - 365D</t>
  </si>
  <si>
    <t>[M] - FB/IG - View Vídeo - [NUTELLA] - 50% - 30D</t>
  </si>
  <si>
    <t>[M] - FB/IG - View Vídeo - [NUTELLA] - 50% - 60D</t>
  </si>
  <si>
    <t>[M] - FB/IG - View Vídeo - [NUTELLA] - 50% - 90D</t>
  </si>
  <si>
    <t>[M] - FB/IG - View Vídeo - [NUTELLA] - 50% - 180D</t>
  </si>
  <si>
    <t>[M] - FB/IG - View Vídeo - [NUTELLA] - 50% - 365D</t>
  </si>
  <si>
    <t>[M] - FB/IG - View Vídeo - [NUTELLA] - 75% - 30D</t>
  </si>
  <si>
    <t>[M] - FB/IG - View Vídeo - [NUTELLA] - 75% - 60D</t>
  </si>
  <si>
    <t>[M] - FB/IG - View Vídeo - [NUTELLA] - 75% - 90D</t>
  </si>
  <si>
    <t>[M] - FB/IG - View Vídeo - [NUTELLA] - 75% - 180D</t>
  </si>
  <si>
    <t>[M] - FB/IG - View Vídeo - [NUTELLA] - 75% - 365D</t>
  </si>
  <si>
    <t>[M] - FB/IG - View Vídeo - [NUTELLA] - 95% - 30D</t>
  </si>
  <si>
    <t>[M] - FB/IG - View Vídeo - [NUTELLA] - 95% - 60D</t>
  </si>
  <si>
    <t>[M] - FB/IG - View Vídeo - [NUTELLA] - 95% - 90D</t>
  </si>
  <si>
    <t>[M] - FB/IG - View Vídeo - [NUTELLA] - 95% - 180D</t>
  </si>
  <si>
    <t>[M] - FB/IG - View Vídeo - [NUTELLA] - 95% - 365D</t>
  </si>
  <si>
    <t>View Vídeo ANÚNCIO</t>
  </si>
  <si>
    <t>[M] - View Vídeo - [ANÚNCIO] - 25% - 30D</t>
  </si>
  <si>
    <t>Qualquer pessoa que assistiu 25% do vídeo ANÚNCIO nos últimos 30 dias</t>
  </si>
  <si>
    <t>[M] - View Vídeo - [ANÚNCIO] - 25% - 60D</t>
  </si>
  <si>
    <t>Qualquer pessoa que assistiu 25% do vídeo ANÚNCIO nos últimos 60 dias</t>
  </si>
  <si>
    <t>[M] - View Vídeo - [ANÚNCIO] - 25% - 90D</t>
  </si>
  <si>
    <t>Qualquer pessoa que assistiu 25% do vídeo ANÚNCIO nos últimos 90 dias</t>
  </si>
  <si>
    <t>[M] - View Vídeo - [ANÚNCIO] - 25% - 180D</t>
  </si>
  <si>
    <t>Qualquer pessoa que assistiu 25% do vídeo ANÚNCIO nos últimos 180 dias</t>
  </si>
  <si>
    <t>[M] - View Vídeo - [ANÚNCIO] - 25% - 365D</t>
  </si>
  <si>
    <t>Qualquer pessoa que assistiu 25% do vídeo ANÚNCIO nos últimos 365 dias</t>
  </si>
  <si>
    <t>[M] - View Vídeo - [ANÚNCIO] - 50% - 30D</t>
  </si>
  <si>
    <t>Qualquer pessoa que assistiu 50% do vídeo ANÚNCIO nos últimos 30 dias</t>
  </si>
  <si>
    <t>[M] - View Vídeo - [ANÚNCIO] - 50% - 60D</t>
  </si>
  <si>
    <t>Qualquer pessoa que assistiu 50% do vídeo ANÚNCIO nos últimos 60 dias</t>
  </si>
  <si>
    <t>[M] - View Vídeo - [ANÚNCIO] - 50% - 90D</t>
  </si>
  <si>
    <t>Qualquer pessoa que assistiu 50% do vídeo ANÚNCIO nos últimos 90 dias</t>
  </si>
  <si>
    <t>[M] - View Vídeo - [ANÚNCIO] - 50% - 180D</t>
  </si>
  <si>
    <t>Qualquer pessoa que assistiu 50% do vídeo ANÚNCIO nos últimos 180 dias</t>
  </si>
  <si>
    <t>[M] - View Vídeo - [ANÚNCIO] - 50% - 365D</t>
  </si>
  <si>
    <t>Qualquer pessoa que assistiu 50% do vídeo ANÚNCIO nos últimos 365 dias</t>
  </si>
  <si>
    <t>[M] - View Vídeo - [ANÚNCIO] - 75% - 30D</t>
  </si>
  <si>
    <t>Qualquer pessoa que assistiu 75% do vídeo ANÚNCIO nos últimos 30 dias</t>
  </si>
  <si>
    <t>[M] - View Vídeo - [ANÚNCIO] - 75% - 60D</t>
  </si>
  <si>
    <t>Qualquer pessoa que assistiu 75% do vídeo ANÚNCIO nos últimos 60 dias</t>
  </si>
  <si>
    <t>[M] - View Vídeo - [ANÚNCIO] - 75% - 90D</t>
  </si>
  <si>
    <t>Qualquer pessoa que assistiu 75% do vídeo ANÚNCIO nos últimos 90 dias</t>
  </si>
  <si>
    <t>[M] - View Vídeo - [ANÚNCIO] - 75% - 180D</t>
  </si>
  <si>
    <t>Qualquer pessoa que assistiu 75% do vídeo ANÚNCIO nos últimos 180 dias</t>
  </si>
  <si>
    <t>[M] - View Vídeo - [ANÚNCIO] - 75% - 365D</t>
  </si>
  <si>
    <t>Qualquer pessoa que assistiu 75% do vídeo ANÚNCIO nos últimos 365 dias</t>
  </si>
  <si>
    <t>Qualquer pessoa que assistiu 95% do vídeo ANÚNCIO nos últimos 30 dias</t>
  </si>
  <si>
    <t>Qualquer pessoa que assistiu 95% do vídeo ANÚNCIO nos últimos 60 dias</t>
  </si>
  <si>
    <t>Qualquer pessoa que assistiu 95% do vídeo ANÚNCIO nos últimos 90 dias</t>
  </si>
  <si>
    <t>Qualquer pessoa que assistiu 95% do vídeo ANÚNCIO nos últimos 180 dias</t>
  </si>
  <si>
    <t>Qualquer pessoa que assistiu 95% do vídeo ANÚNCIO nos últimos 365 dias</t>
  </si>
  <si>
    <t>View Vídeo PERGUNTAS E RESPOSTAS (Q&amp;A)</t>
  </si>
  <si>
    <t>[M] - FB/IG - View Vídeo - [Q&amp;A] - 25% - 30D</t>
  </si>
  <si>
    <t>Qualquer pessoa que assistiu 25% do vídeo Q&amp;A nos últimos 30 dias</t>
  </si>
  <si>
    <t>[M] - FB/IG - View Vídeo - [Q&amp;A] - 25% - 60D</t>
  </si>
  <si>
    <t>Qualquer pessoa que assistiu 25% do vídeo Q&amp;A nos últimos 60 dias</t>
  </si>
  <si>
    <t>[M] - FB/IG - View Vídeo - [Q&amp;A] - 25% - 90D</t>
  </si>
  <si>
    <t>Qualquer pessoa que assistiu 25% do vídeo Q&amp;A nos últimos 90 dias</t>
  </si>
  <si>
    <t>[M] - FB/IG - View Vídeo - [Q&amp;A] - 25% - 180D</t>
  </si>
  <si>
    <t>Qualquer pessoa que assistiu 25% do vídeo Q&amp;A nos últimos 180 dias</t>
  </si>
  <si>
    <t>[M] - FB/IG - View Vídeo - [Q&amp;A] - 25% - 365D</t>
  </si>
  <si>
    <t>Qualquer pessoa que assistiu 25% do vídeo Q&amp;A nos últimos 365 dias</t>
  </si>
  <si>
    <t>[M] - FB/IG - View Vídeo - [Q&amp;A] - 50% - 30D</t>
  </si>
  <si>
    <t>Qualquer pessoa que assistiu 50% do vídeo Q&amp;A nos últimos 30 dias</t>
  </si>
  <si>
    <t>[M] - FB/IG - View Vídeo - [Q&amp;A] - 50% - 60D</t>
  </si>
  <si>
    <t>Qualquer pessoa que assistiu 50% do vídeo Q&amp;A nos últimos 60 dias</t>
  </si>
  <si>
    <t>[M] - FB/IG - View Vídeo - [Q&amp;A] - 50% - 90D</t>
  </si>
  <si>
    <t>Qualquer pessoa que assistiu 50% do vídeo Q&amp;A nos últimos 90 dias</t>
  </si>
  <si>
    <t>[M] - FB/IG - View Vídeo - [Q&amp;A] - 50% - 180D</t>
  </si>
  <si>
    <t>Qualquer pessoa que assistiu 50% do vídeo Q&amp;A nos últimos 180 dias</t>
  </si>
  <si>
    <t>[M] - FB/IG - View Vídeo - [Q&amp;A] - 50% - 365D</t>
  </si>
  <si>
    <t>Qualquer pessoa que assistiu 50% do vídeo Q&amp;A nos últimos 365 dias</t>
  </si>
  <si>
    <t>[M] - FB/IG - View Vídeo - [Q&amp;A] - 75% - 30D</t>
  </si>
  <si>
    <t>Qualquer pessoa que assistiu 75% do vídeo Q&amp;A nos últimos 30 dias</t>
  </si>
  <si>
    <t>[M] - FB/IG - View Vídeo - [Q&amp;A] - 75% - 60D</t>
  </si>
  <si>
    <t>Qualquer pessoa que assistiu 75% do vídeo Q&amp;A nos últimos 60 dias</t>
  </si>
  <si>
    <t>[M] - FB/IG - View Vídeo - [Q&amp;A] - 75% - 90D</t>
  </si>
  <si>
    <t>Qualquer pessoa que assistiu 75% do vídeo Q&amp;A nos últimos 90 dias</t>
  </si>
  <si>
    <t>[M] - FB/IG - View Vídeo - [Q&amp;A] - 75% - 180D</t>
  </si>
  <si>
    <t>Qualquer pessoa que assistiu 75% do vídeo Q&amp;A nos últimos 180 dias</t>
  </si>
  <si>
    <t>[M] - FB/IG - View Vídeo - [Q&amp;A] - 75% - 365D</t>
  </si>
  <si>
    <t>Qualquer pessoa que assistiu 75% do vídeo Q&amp;A nos últimos 365 dias</t>
  </si>
  <si>
    <t>[M] - FB/IG - View Vídeo - [Q&amp;A] - 95% - 30D</t>
  </si>
  <si>
    <t>Qualquer pessoa que assistiu 95% do vídeo Q&amp;A nos últimos 30 dias</t>
  </si>
  <si>
    <t>[M] - FB/IG - View Vídeo - [Q&amp;A] - 95% - 60D</t>
  </si>
  <si>
    <t>Qualquer pessoa que assistiu 95% do vídeo Q&amp;A nos últimos 60 dias</t>
  </si>
  <si>
    <t>[M] - FB/IG - View Vídeo - [Q&amp;A] - 95% - 90D</t>
  </si>
  <si>
    <t>Qualquer pessoa que assistiu 95% do vídeo Q&amp;A nos últimos 90 dias</t>
  </si>
  <si>
    <t>[M] - FB/IG - View Vídeo - [Q&amp;A] - 95% - 180D</t>
  </si>
  <si>
    <t>Qualquer pessoa que assistiu 95% do vídeo Q&amp;A nos últimos 180 dias</t>
  </si>
  <si>
    <t>[M] - FB/IG - View Vídeo - [Q&amp;A] - 95% - 365D</t>
  </si>
  <si>
    <t>Qualquer pessoa que assistiu 95% do vídeo Q&amp;A nos últimos 365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</si>
</sst>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20.0"/>
      <color rgb="FFFFFFFF"/>
      <name val="Arial"/>
    </font>
    <font/>
    <font>
      <b/>
      <color theme="1"/>
      <name val="Arial"/>
    </font>
    <font>
      <b/>
      <sz val="16.0"/>
      <color rgb="FFFFFFFF"/>
      <name val="Arial"/>
    </font>
    <font>
      <b/>
      <sz val="14.0"/>
      <color rgb="FFFFFFFF"/>
      <name val="Arial"/>
    </font>
    <font>
      <b/>
      <color rgb="FFFFFFFF"/>
      <name val="Arial"/>
    </font>
    <font>
      <color theme="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7F6000"/>
        <bgColor rgb="FF7F60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F4C7C3"/>
        <bgColor rgb="FFF4C7C3"/>
      </patternFill>
    </fill>
    <fill>
      <patternFill patternType="solid">
        <fgColor rgb="FF783F04"/>
        <bgColor rgb="FF783F04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20124D"/>
        <bgColor rgb="FF20124D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1" fillId="3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2" fontId="5" numFmtId="0" xfId="0" applyFill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3" fontId="6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0" fillId="2" fontId="7" numFmtId="0" xfId="0" applyAlignment="1" applyFill="1" applyFont="1">
      <alignment horizontal="center" vertical="center"/>
    </xf>
    <xf borderId="9" fillId="4" fontId="8" numFmtId="0" xfId="0" applyAlignment="1" applyBorder="1" applyFill="1" applyFont="1">
      <alignment horizontal="center"/>
    </xf>
    <xf borderId="10" fillId="4" fontId="8" numFmtId="0" xfId="0" applyAlignment="1" applyBorder="1" applyFill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10" fillId="5" fontId="8" numFmtId="0" xfId="0" applyAlignment="1" applyBorder="1" applyFill="1" applyFont="1">
      <alignment horizontal="center"/>
    </xf>
    <xf borderId="9" fillId="0" fontId="1" numFmtId="0" xfId="0" applyBorder="1" applyFont="1"/>
    <xf borderId="9" fillId="0" fontId="1" numFmtId="0" xfId="0" applyAlignment="1" applyBorder="1" applyFont="1">
      <alignment horizontal="center"/>
    </xf>
    <xf borderId="10" fillId="0" fontId="1" numFmtId="0" xfId="0" applyBorder="1" applyFont="1"/>
    <xf borderId="10" fillId="0" fontId="1" numFmtId="0" xfId="0" applyAlignment="1" applyBorder="1" applyFont="1">
      <alignment horizontal="center"/>
    </xf>
    <xf borderId="0" fillId="6" fontId="1" numFmtId="0" xfId="0" applyFill="1" applyFont="1"/>
    <xf borderId="0" fillId="6" fontId="7" numFmtId="0" xfId="0" applyAlignment="1" applyFill="1" applyFont="1">
      <alignment horizontal="center" vertical="center"/>
    </xf>
    <xf borderId="9" fillId="7" fontId="8" numFmtId="0" xfId="0" applyAlignment="1" applyBorder="1" applyFill="1" applyFont="1">
      <alignment horizontal="center"/>
    </xf>
    <xf borderId="10" fillId="7" fontId="8" numFmtId="0" xfId="0" applyAlignment="1" applyBorder="1" applyFill="1" applyFont="1">
      <alignment horizontal="center"/>
    </xf>
    <xf borderId="10" fillId="8" fontId="8" numFmtId="0" xfId="0" applyAlignment="1" applyBorder="1" applyFill="1" applyFont="1">
      <alignment horizontal="center"/>
    </xf>
    <xf borderId="0" fillId="9" fontId="1" numFmtId="0" xfId="0" applyFill="1" applyFont="1"/>
    <xf borderId="0" fillId="9" fontId="7" numFmtId="0" xfId="0" applyAlignment="1" applyFill="1" applyFont="1">
      <alignment horizontal="center" vertical="center"/>
    </xf>
    <xf borderId="9" fillId="10" fontId="8" numFmtId="0" xfId="0" applyAlignment="1" applyBorder="1" applyFill="1" applyFont="1">
      <alignment horizontal="center"/>
    </xf>
    <xf borderId="10" fillId="10" fontId="8" numFmtId="0" xfId="0" applyAlignment="1" applyBorder="1" applyFill="1" applyFont="1">
      <alignment horizontal="center"/>
    </xf>
    <xf borderId="10" fillId="11" fontId="8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vertical="bottom"/>
    </xf>
    <xf borderId="12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horizontal="center" vertical="bottom"/>
    </xf>
    <xf borderId="12" fillId="12" fontId="5" numFmtId="0" xfId="0" applyAlignment="1" applyBorder="1" applyFill="1" applyFont="1">
      <alignment horizontal="center"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13" fontId="1" numFmtId="0" xfId="0" applyFill="1" applyFont="1"/>
    <xf borderId="0" fillId="13" fontId="7" numFmtId="0" xfId="0" applyAlignment="1" applyFill="1" applyFont="1">
      <alignment horizontal="center" vertical="center"/>
    </xf>
    <xf borderId="9" fillId="14" fontId="8" numFmtId="0" xfId="0" applyAlignment="1" applyBorder="1" applyFill="1" applyFont="1">
      <alignment horizontal="center"/>
    </xf>
    <xf borderId="10" fillId="14" fontId="8" numFmtId="0" xfId="0" applyAlignment="1" applyBorder="1" applyFill="1" applyFont="1">
      <alignment horizontal="center"/>
    </xf>
    <xf borderId="10" fillId="15" fontId="8" numFmtId="0" xfId="0" applyAlignment="1" applyBorder="1" applyFill="1" applyFont="1">
      <alignment horizontal="center"/>
    </xf>
    <xf borderId="0" fillId="16" fontId="1" numFmtId="0" xfId="0" applyFill="1" applyFont="1"/>
    <xf borderId="0" fillId="16" fontId="7" numFmtId="0" xfId="0" applyAlignment="1" applyFill="1" applyFont="1">
      <alignment horizontal="center" vertical="center"/>
    </xf>
    <xf borderId="9" fillId="17" fontId="8" numFmtId="0" xfId="0" applyAlignment="1" applyBorder="1" applyFill="1" applyFont="1">
      <alignment horizontal="center"/>
    </xf>
    <xf borderId="10" fillId="17" fontId="8" numFmtId="0" xfId="0" applyAlignment="1" applyBorder="1" applyFill="1" applyFont="1">
      <alignment horizontal="center"/>
    </xf>
    <xf borderId="10" fillId="18" fontId="8" numFmtId="0" xfId="0" applyAlignment="1" applyBorder="1" applyFill="1" applyFont="1">
      <alignment horizontal="center"/>
    </xf>
    <xf borderId="0" fillId="19" fontId="1" numFmtId="0" xfId="0" applyFill="1" applyFont="1"/>
    <xf borderId="0" fillId="19" fontId="7" numFmtId="0" xfId="0" applyAlignment="1" applyFill="1" applyFont="1">
      <alignment horizontal="center" vertical="center"/>
    </xf>
    <xf borderId="9" fillId="20" fontId="8" numFmtId="0" xfId="0" applyAlignment="1" applyBorder="1" applyFill="1" applyFont="1">
      <alignment horizontal="center"/>
    </xf>
    <xf borderId="10" fillId="20" fontId="8" numFmtId="0" xfId="0" applyAlignment="1" applyBorder="1" applyFill="1" applyFont="1">
      <alignment horizontal="center"/>
    </xf>
    <xf borderId="10" fillId="21" fontId="8" numFmtId="0" xfId="0" applyAlignment="1" applyBorder="1" applyFill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Border="1" applyFont="1"/>
    <xf borderId="0" fillId="0" fontId="1" numFmtId="0" xfId="0" applyFont="1"/>
    <xf borderId="10" fillId="0" fontId="9" numFmtId="0" xfId="0" applyBorder="1" applyFont="1"/>
    <xf borderId="10" fillId="0" fontId="9" numFmtId="0" xfId="0" applyAlignment="1" applyBorder="1" applyFont="1">
      <alignment horizontal="center"/>
    </xf>
    <xf borderId="8" fillId="0" fontId="1" numFmtId="0" xfId="0" applyBorder="1" applyFont="1"/>
    <xf borderId="8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center" vertical="bottom"/>
    </xf>
    <xf borderId="8" fillId="12" fontId="5" numFmtId="0" xfId="0" applyAlignment="1" applyBorder="1" applyFill="1" applyFont="1">
      <alignment horizontal="center" vertical="bottom"/>
    </xf>
  </cellXfs>
  <cellStyles count="1">
    <cellStyle xfId="0" name="Normal" builtinId="0"/>
  </cellStyles>
  <dxfs count="4"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4C7C3"/>
          <bgColor rgb="FFF4C7C3"/>
        </patternFill>
      </fill>
      <border/>
    </dxf>
    <dxf>
      <font>
        <b/>
      </font>
      <fill>
        <patternFill patternType="solid">
          <fgColor rgb="FFFCE8B2"/>
          <bgColor rgb="FFFCE8B2"/>
        </patternFill>
      </fill>
      <border/>
    </dxf>
    <dxf>
      <font>
        <b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6" width="9.38"/>
    <col customWidth="1" min="7" max="7" width="5.0"/>
    <col customWidth="1" min="8" max="8" width="4.5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3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5.0</v>
      </c>
      <c r="D15" s="23" t="s">
        <v>9</v>
      </c>
      <c r="E15" s="18"/>
      <c r="F15" s="18"/>
      <c r="G15" s="18"/>
      <c r="H15" s="19"/>
      <c r="I15" s="24" t="s">
        <v>11</v>
      </c>
      <c r="J15" s="18"/>
      <c r="K15" s="18"/>
      <c r="L15" s="19"/>
      <c r="M15" s="22" t="str">
        <f t="shared" ref="M15:M21" si="1">IF(B15=TRUE,"Público Criado","Público Pendente")</f>
        <v>Público Pendente</v>
      </c>
      <c r="N15" s="1"/>
    </row>
    <row r="16" ht="15.75" customHeight="1">
      <c r="A16" s="1"/>
      <c r="B16" s="21" t="b">
        <v>0</v>
      </c>
      <c r="C16" s="22">
        <v>6.0</v>
      </c>
      <c r="D16" s="23" t="s">
        <v>16</v>
      </c>
      <c r="E16" s="18"/>
      <c r="F16" s="18"/>
      <c r="G16" s="18"/>
      <c r="H16" s="19"/>
      <c r="I16" s="24" t="s">
        <v>18</v>
      </c>
      <c r="J16" s="18"/>
      <c r="K16" s="18"/>
      <c r="L16" s="19"/>
      <c r="M16" s="22" t="str">
        <f t="shared" si="1"/>
        <v>Público Pendente</v>
      </c>
      <c r="N16" s="1"/>
    </row>
    <row r="17" ht="15.75" customHeight="1">
      <c r="A17" s="1"/>
      <c r="B17" s="21" t="b">
        <v>0</v>
      </c>
      <c r="C17" s="22">
        <v>7.0</v>
      </c>
      <c r="D17" s="23" t="s">
        <v>22</v>
      </c>
      <c r="E17" s="18"/>
      <c r="F17" s="18"/>
      <c r="G17" s="18"/>
      <c r="H17" s="19"/>
      <c r="I17" s="24" t="s">
        <v>24</v>
      </c>
      <c r="J17" s="18"/>
      <c r="K17" s="18"/>
      <c r="L17" s="19"/>
      <c r="M17" s="22" t="str">
        <f t="shared" si="1"/>
        <v>Público Pendente</v>
      </c>
      <c r="N17" s="1"/>
    </row>
    <row r="18" ht="15.75" customHeight="1">
      <c r="A18" s="1"/>
      <c r="B18" s="21" t="b">
        <v>0</v>
      </c>
      <c r="C18" s="22">
        <v>9.0</v>
      </c>
      <c r="D18" s="23" t="s">
        <v>26</v>
      </c>
      <c r="E18" s="18"/>
      <c r="F18" s="18"/>
      <c r="G18" s="18"/>
      <c r="H18" s="19"/>
      <c r="I18" s="24" t="s">
        <v>29</v>
      </c>
      <c r="J18" s="18"/>
      <c r="K18" s="18"/>
      <c r="L18" s="19"/>
      <c r="M18" s="22" t="str">
        <f t="shared" si="1"/>
        <v>Público Pendente</v>
      </c>
      <c r="N18" s="1"/>
    </row>
    <row r="19" ht="15.75" customHeight="1">
      <c r="A19" s="1"/>
      <c r="B19" s="21" t="b">
        <v>0</v>
      </c>
      <c r="C19" s="22">
        <v>10.0</v>
      </c>
      <c r="D19" s="23" t="s">
        <v>32</v>
      </c>
      <c r="E19" s="18"/>
      <c r="F19" s="18"/>
      <c r="G19" s="18"/>
      <c r="H19" s="19"/>
      <c r="I19" s="24" t="s">
        <v>33</v>
      </c>
      <c r="J19" s="18"/>
      <c r="K19" s="18"/>
      <c r="L19" s="19"/>
      <c r="M19" s="22" t="str">
        <f t="shared" si="1"/>
        <v>Público Pendente</v>
      </c>
      <c r="N19" s="1"/>
    </row>
    <row r="20" ht="15.75" customHeight="1">
      <c r="A20" s="1"/>
      <c r="B20" s="21" t="b">
        <v>0</v>
      </c>
      <c r="C20" s="22">
        <v>11.0</v>
      </c>
      <c r="D20" s="23" t="s">
        <v>38</v>
      </c>
      <c r="E20" s="18"/>
      <c r="F20" s="18"/>
      <c r="G20" s="18"/>
      <c r="H20" s="19"/>
      <c r="I20" s="24" t="s">
        <v>39</v>
      </c>
      <c r="J20" s="18"/>
      <c r="K20" s="18"/>
      <c r="L20" s="19"/>
      <c r="M20" s="22" t="str">
        <f t="shared" si="1"/>
        <v>Público Pendente</v>
      </c>
      <c r="N20" s="1"/>
    </row>
    <row r="21" ht="15.75" customHeight="1">
      <c r="A21" s="1"/>
      <c r="B21" s="21" t="b">
        <v>0</v>
      </c>
      <c r="C21" s="22">
        <v>12.0</v>
      </c>
      <c r="D21" s="23" t="s">
        <v>41</v>
      </c>
      <c r="E21" s="18"/>
      <c r="F21" s="18"/>
      <c r="G21" s="18"/>
      <c r="H21" s="19"/>
      <c r="I21" s="24" t="s">
        <v>42</v>
      </c>
      <c r="J21" s="18"/>
      <c r="K21" s="18"/>
      <c r="L21" s="19"/>
      <c r="M21" s="22" t="str">
        <f t="shared" si="1"/>
        <v>Público Pendente</v>
      </c>
      <c r="N21" s="1"/>
    </row>
    <row r="22" ht="15.75" customHeight="1">
      <c r="A22" s="1"/>
      <c r="C22" s="14"/>
      <c r="N22" s="1"/>
    </row>
    <row r="23" ht="15.75" customHeight="1">
      <c r="A23" s="1"/>
      <c r="C23" s="14"/>
      <c r="N23" s="1"/>
    </row>
    <row r="24" ht="15.75" customHeight="1">
      <c r="A24" s="25"/>
      <c r="B24" s="26" t="s">
        <v>43</v>
      </c>
      <c r="N24" s="25"/>
    </row>
    <row r="25" ht="15.75" customHeight="1">
      <c r="A25" s="25"/>
      <c r="N25" s="25"/>
    </row>
    <row r="26" ht="15.75" customHeight="1">
      <c r="A26" s="25"/>
      <c r="N26" s="25"/>
    </row>
    <row r="27" ht="15.75" customHeight="1">
      <c r="A27" s="25"/>
      <c r="C27" s="14"/>
      <c r="N27" s="25"/>
    </row>
    <row r="28" ht="15.75" customHeight="1">
      <c r="A28" s="25"/>
      <c r="B28" s="27"/>
      <c r="C28" s="27" t="s">
        <v>4</v>
      </c>
      <c r="D28" s="28" t="s">
        <v>5</v>
      </c>
      <c r="E28" s="18"/>
      <c r="F28" s="18"/>
      <c r="G28" s="18"/>
      <c r="H28" s="19"/>
      <c r="I28" s="29" t="s">
        <v>6</v>
      </c>
      <c r="J28" s="18"/>
      <c r="K28" s="18"/>
      <c r="L28" s="19"/>
      <c r="M28" s="27" t="s">
        <v>7</v>
      </c>
      <c r="N28" s="25"/>
    </row>
    <row r="29" ht="15.75" customHeight="1">
      <c r="A29" s="25"/>
      <c r="B29" s="21" t="b">
        <v>0</v>
      </c>
      <c r="C29" s="22">
        <v>1.0</v>
      </c>
      <c r="D29" s="23" t="s">
        <v>51</v>
      </c>
      <c r="E29" s="18"/>
      <c r="F29" s="18"/>
      <c r="G29" s="18"/>
      <c r="H29" s="19"/>
      <c r="I29" s="24" t="s">
        <v>52</v>
      </c>
      <c r="J29" s="18"/>
      <c r="K29" s="18"/>
      <c r="L29" s="19"/>
      <c r="M29" s="22" t="str">
        <f t="shared" ref="M29:M33" si="2">IF(B29=TRUE,"Público Criado","Público Pendente")</f>
        <v>Público Pendente</v>
      </c>
      <c r="N29" s="25"/>
    </row>
    <row r="30" ht="15.75" customHeight="1">
      <c r="A30" s="25"/>
      <c r="B30" s="21" t="b">
        <v>0</v>
      </c>
      <c r="C30" s="22">
        <v>2.0</v>
      </c>
      <c r="D30" s="23" t="s">
        <v>57</v>
      </c>
      <c r="E30" s="18"/>
      <c r="F30" s="18"/>
      <c r="G30" s="18"/>
      <c r="H30" s="19"/>
      <c r="I30" s="24" t="s">
        <v>59</v>
      </c>
      <c r="J30" s="18"/>
      <c r="K30" s="18"/>
      <c r="L30" s="19"/>
      <c r="M30" s="22" t="str">
        <f t="shared" si="2"/>
        <v>Público Pendente</v>
      </c>
      <c r="N30" s="25"/>
    </row>
    <row r="31" ht="15.75" customHeight="1">
      <c r="A31" s="25"/>
      <c r="B31" s="21" t="b">
        <v>0</v>
      </c>
      <c r="C31" s="22">
        <v>3.0</v>
      </c>
      <c r="D31" s="23" t="s">
        <v>62</v>
      </c>
      <c r="E31" s="18"/>
      <c r="F31" s="18"/>
      <c r="G31" s="18"/>
      <c r="H31" s="19"/>
      <c r="I31" s="24" t="s">
        <v>65</v>
      </c>
      <c r="J31" s="18"/>
      <c r="K31" s="18"/>
      <c r="L31" s="19"/>
      <c r="M31" s="22" t="str">
        <f t="shared" si="2"/>
        <v>Público Pendente</v>
      </c>
      <c r="N31" s="25"/>
    </row>
    <row r="32" ht="15.75" customHeight="1">
      <c r="A32" s="25"/>
      <c r="B32" s="21" t="b">
        <v>0</v>
      </c>
      <c r="C32" s="22">
        <v>4.0</v>
      </c>
      <c r="D32" s="23" t="s">
        <v>67</v>
      </c>
      <c r="E32" s="18"/>
      <c r="F32" s="18"/>
      <c r="G32" s="18"/>
      <c r="H32" s="19"/>
      <c r="I32" s="24" t="s">
        <v>70</v>
      </c>
      <c r="J32" s="18"/>
      <c r="K32" s="18"/>
      <c r="L32" s="19"/>
      <c r="M32" s="22" t="str">
        <f t="shared" si="2"/>
        <v>Público Pendente</v>
      </c>
      <c r="N32" s="25"/>
    </row>
    <row r="33" ht="15.75" customHeight="1">
      <c r="A33" s="25"/>
      <c r="B33" s="21" t="b">
        <v>0</v>
      </c>
      <c r="C33" s="22">
        <v>5.0</v>
      </c>
      <c r="D33" s="23" t="s">
        <v>72</v>
      </c>
      <c r="E33" s="18"/>
      <c r="F33" s="18"/>
      <c r="G33" s="18"/>
      <c r="H33" s="19"/>
      <c r="I33" s="24" t="s">
        <v>74</v>
      </c>
      <c r="J33" s="18"/>
      <c r="K33" s="18"/>
      <c r="L33" s="19"/>
      <c r="M33" s="22" t="str">
        <f t="shared" si="2"/>
        <v>Público Pendente</v>
      </c>
      <c r="N33" s="25"/>
    </row>
    <row r="34" ht="15.75" customHeight="1">
      <c r="A34" s="25"/>
      <c r="C34" s="14"/>
      <c r="N34" s="25"/>
    </row>
    <row r="35" ht="15.75" customHeight="1">
      <c r="A35" s="25"/>
      <c r="C35" s="14"/>
      <c r="N35" s="25"/>
    </row>
    <row r="36" ht="15.75" customHeight="1">
      <c r="A36" s="30"/>
      <c r="B36" s="31" t="s">
        <v>69</v>
      </c>
      <c r="N36" s="30"/>
    </row>
    <row r="37" ht="15.75" customHeight="1">
      <c r="A37" s="30"/>
      <c r="N37" s="30"/>
    </row>
    <row r="38" ht="15.75" customHeight="1">
      <c r="A38" s="30"/>
      <c r="N38" s="30"/>
    </row>
    <row r="39" ht="15.75" customHeight="1">
      <c r="A39" s="30"/>
      <c r="C39" s="14"/>
      <c r="N39" s="30"/>
    </row>
    <row r="40" ht="15.75" customHeight="1">
      <c r="A40" s="30"/>
      <c r="B40" s="32"/>
      <c r="C40" s="32" t="s">
        <v>4</v>
      </c>
      <c r="D40" s="33" t="s">
        <v>5</v>
      </c>
      <c r="E40" s="18"/>
      <c r="F40" s="18"/>
      <c r="G40" s="18"/>
      <c r="H40" s="19"/>
      <c r="I40" s="34" t="s">
        <v>6</v>
      </c>
      <c r="J40" s="18"/>
      <c r="K40" s="18"/>
      <c r="L40" s="19"/>
      <c r="M40" s="32" t="s">
        <v>7</v>
      </c>
      <c r="N40" s="30"/>
    </row>
    <row r="41" ht="15.75" customHeight="1">
      <c r="A41" s="30"/>
      <c r="B41" s="21" t="b">
        <v>0</v>
      </c>
      <c r="C41" s="22">
        <v>1.0</v>
      </c>
      <c r="D41" s="23" t="s">
        <v>83</v>
      </c>
      <c r="E41" s="18"/>
      <c r="F41" s="18"/>
      <c r="G41" s="18"/>
      <c r="H41" s="19"/>
      <c r="I41" s="24" t="s">
        <v>86</v>
      </c>
      <c r="J41" s="18"/>
      <c r="K41" s="18"/>
      <c r="L41" s="19"/>
      <c r="M41" s="22" t="str">
        <f t="shared" ref="M41:M45" si="3">IF(B41=TRUE,"Público Criado","Público Pendente")</f>
        <v>Público Pendente</v>
      </c>
      <c r="N41" s="30"/>
    </row>
    <row r="42" ht="15.75" customHeight="1">
      <c r="A42" s="30"/>
      <c r="B42" s="21" t="b">
        <v>0</v>
      </c>
      <c r="C42" s="22">
        <v>2.0</v>
      </c>
      <c r="D42" s="23" t="s">
        <v>92</v>
      </c>
      <c r="E42" s="18"/>
      <c r="F42" s="18"/>
      <c r="G42" s="18"/>
      <c r="H42" s="19"/>
      <c r="I42" s="24" t="s">
        <v>95</v>
      </c>
      <c r="J42" s="18"/>
      <c r="K42" s="18"/>
      <c r="L42" s="19"/>
      <c r="M42" s="22" t="str">
        <f t="shared" si="3"/>
        <v>Público Pendente</v>
      </c>
      <c r="N42" s="30"/>
    </row>
    <row r="43" ht="15.75" customHeight="1">
      <c r="A43" s="30"/>
      <c r="B43" s="21" t="b">
        <v>0</v>
      </c>
      <c r="C43" s="22">
        <v>3.0</v>
      </c>
      <c r="D43" s="23" t="s">
        <v>98</v>
      </c>
      <c r="E43" s="18"/>
      <c r="F43" s="18"/>
      <c r="G43" s="18"/>
      <c r="H43" s="19"/>
      <c r="I43" s="24" t="s">
        <v>99</v>
      </c>
      <c r="J43" s="18"/>
      <c r="K43" s="18"/>
      <c r="L43" s="19"/>
      <c r="M43" s="22" t="str">
        <f t="shared" si="3"/>
        <v>Público Pendente</v>
      </c>
      <c r="N43" s="30"/>
    </row>
    <row r="44" ht="15.75" customHeight="1">
      <c r="A44" s="30"/>
      <c r="B44" s="21" t="b">
        <v>0</v>
      </c>
      <c r="C44" s="22">
        <v>4.0</v>
      </c>
      <c r="D44" s="23" t="s">
        <v>102</v>
      </c>
      <c r="E44" s="18"/>
      <c r="F44" s="18"/>
      <c r="G44" s="18"/>
      <c r="H44" s="19"/>
      <c r="I44" s="24" t="s">
        <v>103</v>
      </c>
      <c r="J44" s="18"/>
      <c r="K44" s="18"/>
      <c r="L44" s="19"/>
      <c r="M44" s="22" t="str">
        <f t="shared" si="3"/>
        <v>Público Pendente</v>
      </c>
      <c r="N44" s="30"/>
    </row>
    <row r="45" ht="15.75" customHeight="1">
      <c r="A45" s="30"/>
      <c r="B45" s="21" t="b">
        <v>0</v>
      </c>
      <c r="C45" s="22">
        <v>5.0</v>
      </c>
      <c r="D45" s="23" t="s">
        <v>106</v>
      </c>
      <c r="E45" s="18"/>
      <c r="F45" s="18"/>
      <c r="G45" s="18"/>
      <c r="H45" s="19"/>
      <c r="I45" s="24" t="s">
        <v>108</v>
      </c>
      <c r="J45" s="18"/>
      <c r="K45" s="18"/>
      <c r="L45" s="19"/>
      <c r="M45" s="22" t="str">
        <f t="shared" si="3"/>
        <v>Público Pendente</v>
      </c>
      <c r="N45" s="30"/>
    </row>
    <row r="46" ht="15.75" customHeight="1">
      <c r="A46" s="30"/>
      <c r="C46" s="14"/>
      <c r="N46" s="30"/>
    </row>
    <row r="47" ht="15.75" customHeight="1">
      <c r="A47" s="30"/>
      <c r="C47" s="14"/>
      <c r="N47" s="30"/>
    </row>
    <row r="48" ht="15.75" customHeight="1">
      <c r="A48" s="48"/>
      <c r="B48" s="49" t="s">
        <v>111</v>
      </c>
      <c r="N48" s="48"/>
    </row>
    <row r="49" ht="15.75" customHeight="1">
      <c r="A49" s="48"/>
      <c r="N49" s="48"/>
    </row>
    <row r="50" ht="15.75" customHeight="1">
      <c r="A50" s="48"/>
      <c r="N50" s="48"/>
    </row>
    <row r="51" ht="15.75" customHeight="1">
      <c r="A51" s="48"/>
      <c r="C51" s="14"/>
      <c r="N51" s="48"/>
    </row>
    <row r="52" ht="15.75" customHeight="1">
      <c r="A52" s="48"/>
      <c r="B52" s="50"/>
      <c r="C52" s="50" t="s">
        <v>4</v>
      </c>
      <c r="D52" s="51" t="s">
        <v>5</v>
      </c>
      <c r="E52" s="18"/>
      <c r="F52" s="18"/>
      <c r="G52" s="18"/>
      <c r="H52" s="19"/>
      <c r="I52" s="52" t="s">
        <v>6</v>
      </c>
      <c r="J52" s="18"/>
      <c r="K52" s="18"/>
      <c r="L52" s="19"/>
      <c r="M52" s="50" t="s">
        <v>7</v>
      </c>
      <c r="N52" s="48"/>
    </row>
    <row r="53" ht="15.75" customHeight="1">
      <c r="A53" s="48"/>
      <c r="B53" s="21" t="b">
        <v>0</v>
      </c>
      <c r="C53" s="22">
        <v>1.0</v>
      </c>
      <c r="D53" s="23" t="s">
        <v>122</v>
      </c>
      <c r="E53" s="18"/>
      <c r="F53" s="18"/>
      <c r="G53" s="18"/>
      <c r="H53" s="19"/>
      <c r="I53" s="24" t="s">
        <v>123</v>
      </c>
      <c r="J53" s="18"/>
      <c r="K53" s="18"/>
      <c r="L53" s="19"/>
      <c r="M53" s="22" t="str">
        <f t="shared" ref="M53:M57" si="4">IF(B53=TRUE,"Público Criado","Público Pendente")</f>
        <v>Público Pendente</v>
      </c>
      <c r="N53" s="48"/>
    </row>
    <row r="54" ht="15.75" customHeight="1">
      <c r="A54" s="48"/>
      <c r="B54" s="21" t="b">
        <v>0</v>
      </c>
      <c r="C54" s="22">
        <v>2.0</v>
      </c>
      <c r="D54" s="23" t="s">
        <v>126</v>
      </c>
      <c r="E54" s="18"/>
      <c r="F54" s="18"/>
      <c r="G54" s="18"/>
      <c r="H54" s="19"/>
      <c r="I54" s="24" t="s">
        <v>129</v>
      </c>
      <c r="J54" s="18"/>
      <c r="K54" s="18"/>
      <c r="L54" s="19"/>
      <c r="M54" s="22" t="str">
        <f t="shared" si="4"/>
        <v>Público Pendente</v>
      </c>
      <c r="N54" s="48"/>
    </row>
    <row r="55" ht="15.75" customHeight="1">
      <c r="A55" s="48"/>
      <c r="B55" s="21" t="b">
        <v>0</v>
      </c>
      <c r="C55" s="22">
        <v>3.0</v>
      </c>
      <c r="D55" s="23" t="s">
        <v>132</v>
      </c>
      <c r="E55" s="18"/>
      <c r="F55" s="18"/>
      <c r="G55" s="18"/>
      <c r="H55" s="19"/>
      <c r="I55" s="24" t="s">
        <v>133</v>
      </c>
      <c r="J55" s="18"/>
      <c r="K55" s="18"/>
      <c r="L55" s="19"/>
      <c r="M55" s="22" t="str">
        <f t="shared" si="4"/>
        <v>Público Pendente</v>
      </c>
      <c r="N55" s="48"/>
    </row>
    <row r="56" ht="15.75" customHeight="1">
      <c r="A56" s="48"/>
      <c r="B56" s="21" t="b">
        <v>0</v>
      </c>
      <c r="C56" s="22">
        <v>4.0</v>
      </c>
      <c r="D56" s="23" t="s">
        <v>137</v>
      </c>
      <c r="E56" s="18"/>
      <c r="F56" s="18"/>
      <c r="G56" s="18"/>
      <c r="H56" s="19"/>
      <c r="I56" s="24" t="s">
        <v>139</v>
      </c>
      <c r="J56" s="18"/>
      <c r="K56" s="18"/>
      <c r="L56" s="19"/>
      <c r="M56" s="22" t="str">
        <f t="shared" si="4"/>
        <v>Público Pendente</v>
      </c>
      <c r="N56" s="48"/>
    </row>
    <row r="57" ht="15.75" customHeight="1">
      <c r="A57" s="48"/>
      <c r="B57" s="21" t="b">
        <v>0</v>
      </c>
      <c r="C57" s="22">
        <v>5.0</v>
      </c>
      <c r="D57" s="23" t="s">
        <v>142</v>
      </c>
      <c r="E57" s="18"/>
      <c r="F57" s="18"/>
      <c r="G57" s="18"/>
      <c r="H57" s="19"/>
      <c r="I57" s="24" t="s">
        <v>145</v>
      </c>
      <c r="J57" s="18"/>
      <c r="K57" s="18"/>
      <c r="L57" s="19"/>
      <c r="M57" s="22" t="str">
        <f t="shared" si="4"/>
        <v>Público Pendente</v>
      </c>
      <c r="N57" s="48"/>
    </row>
    <row r="58" ht="15.75" customHeight="1">
      <c r="A58" s="48"/>
      <c r="C58" s="14"/>
      <c r="N58" s="48"/>
    </row>
    <row r="59" ht="15.75" customHeight="1">
      <c r="A59" s="48"/>
      <c r="C59" s="14"/>
      <c r="N59" s="48"/>
    </row>
    <row r="60" ht="15.75" customHeight="1">
      <c r="A60" s="53"/>
      <c r="B60" s="54" t="s">
        <v>148</v>
      </c>
      <c r="N60" s="53"/>
    </row>
    <row r="61" ht="15.75" customHeight="1">
      <c r="A61" s="53"/>
      <c r="N61" s="53"/>
    </row>
    <row r="62" ht="15.75" customHeight="1">
      <c r="A62" s="53"/>
      <c r="N62" s="53"/>
    </row>
    <row r="63" ht="15.75" customHeight="1">
      <c r="A63" s="53"/>
      <c r="C63" s="14"/>
      <c r="N63" s="53"/>
    </row>
    <row r="64" ht="15.75" customHeight="1">
      <c r="A64" s="53"/>
      <c r="B64" s="55"/>
      <c r="C64" s="55" t="s">
        <v>4</v>
      </c>
      <c r="D64" s="56" t="s">
        <v>5</v>
      </c>
      <c r="E64" s="18"/>
      <c r="F64" s="18"/>
      <c r="G64" s="18"/>
      <c r="H64" s="19"/>
      <c r="I64" s="57" t="s">
        <v>6</v>
      </c>
      <c r="J64" s="18"/>
      <c r="K64" s="18"/>
      <c r="L64" s="19"/>
      <c r="M64" s="55" t="s">
        <v>7</v>
      </c>
      <c r="N64" s="53"/>
    </row>
    <row r="65" ht="15.75" customHeight="1">
      <c r="A65" s="53"/>
      <c r="B65" s="21" t="b">
        <v>0</v>
      </c>
      <c r="C65" s="22">
        <v>1.0</v>
      </c>
      <c r="D65" s="23" t="s">
        <v>154</v>
      </c>
      <c r="E65" s="18"/>
      <c r="F65" s="18"/>
      <c r="G65" s="18"/>
      <c r="H65" s="19"/>
      <c r="I65" s="24" t="s">
        <v>156</v>
      </c>
      <c r="J65" s="18"/>
      <c r="K65" s="18"/>
      <c r="L65" s="19"/>
      <c r="M65" s="22" t="str">
        <f t="shared" ref="M65:M69" si="5">IF(B65=TRUE,"Público Criado","Público Pendente")</f>
        <v>Público Pendente</v>
      </c>
      <c r="N65" s="53"/>
    </row>
    <row r="66" ht="15.75" customHeight="1">
      <c r="A66" s="53"/>
      <c r="B66" s="21" t="b">
        <v>0</v>
      </c>
      <c r="C66" s="22">
        <v>2.0</v>
      </c>
      <c r="D66" s="23" t="s">
        <v>160</v>
      </c>
      <c r="E66" s="18"/>
      <c r="F66" s="18"/>
      <c r="G66" s="18"/>
      <c r="H66" s="19"/>
      <c r="I66" s="24" t="s">
        <v>162</v>
      </c>
      <c r="J66" s="18"/>
      <c r="K66" s="18"/>
      <c r="L66" s="19"/>
      <c r="M66" s="22" t="str">
        <f t="shared" si="5"/>
        <v>Público Pendente</v>
      </c>
      <c r="N66" s="53"/>
    </row>
    <row r="67" ht="15.75" customHeight="1">
      <c r="A67" s="53"/>
      <c r="B67" s="21" t="b">
        <v>0</v>
      </c>
      <c r="C67" s="22">
        <v>3.0</v>
      </c>
      <c r="D67" s="23" t="s">
        <v>165</v>
      </c>
      <c r="E67" s="18"/>
      <c r="F67" s="18"/>
      <c r="G67" s="18"/>
      <c r="H67" s="19"/>
      <c r="I67" s="24" t="s">
        <v>167</v>
      </c>
      <c r="J67" s="18"/>
      <c r="K67" s="18"/>
      <c r="L67" s="19"/>
      <c r="M67" s="22" t="str">
        <f t="shared" si="5"/>
        <v>Público Pendente</v>
      </c>
      <c r="N67" s="53"/>
    </row>
    <row r="68" ht="15.75" customHeight="1">
      <c r="A68" s="53"/>
      <c r="B68" s="21" t="b">
        <v>0</v>
      </c>
      <c r="C68" s="22">
        <v>4.0</v>
      </c>
      <c r="D68" s="23" t="s">
        <v>169</v>
      </c>
      <c r="E68" s="18"/>
      <c r="F68" s="18"/>
      <c r="G68" s="18"/>
      <c r="H68" s="19"/>
      <c r="I68" s="24" t="s">
        <v>171</v>
      </c>
      <c r="J68" s="18"/>
      <c r="K68" s="18"/>
      <c r="L68" s="19"/>
      <c r="M68" s="22" t="str">
        <f t="shared" si="5"/>
        <v>Público Pendente</v>
      </c>
      <c r="N68" s="53"/>
    </row>
    <row r="69" ht="15.75" customHeight="1">
      <c r="A69" s="53"/>
      <c r="B69" s="21" t="b">
        <v>0</v>
      </c>
      <c r="C69" s="22">
        <v>5.0</v>
      </c>
      <c r="D69" s="23" t="s">
        <v>176</v>
      </c>
      <c r="E69" s="18"/>
      <c r="F69" s="18"/>
      <c r="G69" s="18"/>
      <c r="H69" s="19"/>
      <c r="I69" s="24" t="s">
        <v>177</v>
      </c>
      <c r="J69" s="18"/>
      <c r="K69" s="18"/>
      <c r="L69" s="19"/>
      <c r="M69" s="22" t="str">
        <f t="shared" si="5"/>
        <v>Público Pendente</v>
      </c>
      <c r="N69" s="53"/>
    </row>
    <row r="70" ht="15.75" customHeight="1">
      <c r="A70" s="53"/>
      <c r="C70" s="14"/>
      <c r="N70" s="53"/>
    </row>
    <row r="71" ht="15.75" customHeight="1">
      <c r="A71" s="53"/>
      <c r="C71" s="14"/>
      <c r="N71" s="53"/>
    </row>
    <row r="72" ht="15.75" customHeight="1">
      <c r="A72" s="25"/>
      <c r="B72" s="26" t="s">
        <v>182</v>
      </c>
      <c r="N72" s="25"/>
    </row>
    <row r="73" ht="15.75" customHeight="1">
      <c r="A73" s="25"/>
      <c r="N73" s="25"/>
    </row>
    <row r="74" ht="15.75" customHeight="1">
      <c r="A74" s="25"/>
      <c r="N74" s="25"/>
    </row>
    <row r="75" ht="15.75" customHeight="1">
      <c r="A75" s="25"/>
      <c r="C75" s="14"/>
      <c r="N75" s="25"/>
    </row>
    <row r="76" ht="15.75" customHeight="1">
      <c r="A76" s="25"/>
      <c r="B76" s="27"/>
      <c r="C76" s="27" t="s">
        <v>4</v>
      </c>
      <c r="D76" s="28" t="s">
        <v>5</v>
      </c>
      <c r="E76" s="18"/>
      <c r="F76" s="18"/>
      <c r="G76" s="18"/>
      <c r="H76" s="19"/>
      <c r="I76" s="29" t="s">
        <v>6</v>
      </c>
      <c r="J76" s="18"/>
      <c r="K76" s="18"/>
      <c r="L76" s="19"/>
      <c r="M76" s="27" t="s">
        <v>7</v>
      </c>
      <c r="N76" s="25"/>
    </row>
    <row r="77" ht="15.75" customHeight="1">
      <c r="A77" s="25"/>
      <c r="B77" s="21" t="b">
        <v>0</v>
      </c>
      <c r="C77" s="22">
        <v>1.0</v>
      </c>
      <c r="D77" s="23" t="s">
        <v>189</v>
      </c>
      <c r="E77" s="18"/>
      <c r="F77" s="18"/>
      <c r="G77" s="18"/>
      <c r="H77" s="19"/>
      <c r="I77" s="24" t="s">
        <v>190</v>
      </c>
      <c r="J77" s="18"/>
      <c r="K77" s="18"/>
      <c r="L77" s="19"/>
      <c r="M77" s="22" t="str">
        <f>IF(B77=TRUE,"Público Criado","Público Pendente")</f>
        <v>Público Pendente</v>
      </c>
      <c r="N77" s="25"/>
    </row>
    <row r="78" ht="15.75" customHeight="1">
      <c r="A78" s="25"/>
      <c r="C78" s="14"/>
      <c r="N78" s="25"/>
    </row>
    <row r="79" ht="15.75" customHeight="1">
      <c r="A79" s="25"/>
      <c r="C79" s="14"/>
      <c r="N79" s="25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</sheetData>
  <mergeCells count="76">
    <mergeCell ref="D53:H53"/>
    <mergeCell ref="D54:H54"/>
    <mergeCell ref="I54:L54"/>
    <mergeCell ref="D55:H55"/>
    <mergeCell ref="I55:L55"/>
    <mergeCell ref="D56:H56"/>
    <mergeCell ref="I56:L56"/>
    <mergeCell ref="D57:H57"/>
    <mergeCell ref="I57:L57"/>
    <mergeCell ref="B60:M62"/>
    <mergeCell ref="D64:H64"/>
    <mergeCell ref="I64:L64"/>
    <mergeCell ref="D65:H65"/>
    <mergeCell ref="I65:L65"/>
    <mergeCell ref="D69:H69"/>
    <mergeCell ref="B72:M74"/>
    <mergeCell ref="D76:H76"/>
    <mergeCell ref="I76:L76"/>
    <mergeCell ref="D77:H77"/>
    <mergeCell ref="I77:L77"/>
    <mergeCell ref="D66:H66"/>
    <mergeCell ref="I66:L66"/>
    <mergeCell ref="D67:H67"/>
    <mergeCell ref="I67:L67"/>
    <mergeCell ref="D68:H68"/>
    <mergeCell ref="I68:L68"/>
    <mergeCell ref="I69:L69"/>
    <mergeCell ref="B2:M4"/>
    <mergeCell ref="B5:M7"/>
    <mergeCell ref="B10:M12"/>
    <mergeCell ref="D14:H14"/>
    <mergeCell ref="I14:L14"/>
    <mergeCell ref="D15:H15"/>
    <mergeCell ref="I15:L15"/>
    <mergeCell ref="D16:H16"/>
    <mergeCell ref="I16:L16"/>
    <mergeCell ref="D17:H17"/>
    <mergeCell ref="I17:L17"/>
    <mergeCell ref="D18:H18"/>
    <mergeCell ref="I18:L18"/>
    <mergeCell ref="I19:L19"/>
    <mergeCell ref="D19:H19"/>
    <mergeCell ref="D20:H20"/>
    <mergeCell ref="I20:L20"/>
    <mergeCell ref="D21:H21"/>
    <mergeCell ref="I21:L21"/>
    <mergeCell ref="B24:M26"/>
    <mergeCell ref="I28:L28"/>
    <mergeCell ref="D28:H28"/>
    <mergeCell ref="D29:H29"/>
    <mergeCell ref="I29:L29"/>
    <mergeCell ref="D30:H30"/>
    <mergeCell ref="I30:L30"/>
    <mergeCell ref="D31:H31"/>
    <mergeCell ref="I31:L31"/>
    <mergeCell ref="D32:H32"/>
    <mergeCell ref="I32:L32"/>
    <mergeCell ref="D33:H33"/>
    <mergeCell ref="I33:L33"/>
    <mergeCell ref="B36:M38"/>
    <mergeCell ref="D40:H40"/>
    <mergeCell ref="I40:L40"/>
    <mergeCell ref="D41:H41"/>
    <mergeCell ref="I41:L41"/>
    <mergeCell ref="D42:H42"/>
    <mergeCell ref="I42:L42"/>
    <mergeCell ref="D43:H43"/>
    <mergeCell ref="I43:L43"/>
    <mergeCell ref="I44:L44"/>
    <mergeCell ref="D44:H44"/>
    <mergeCell ref="D45:H45"/>
    <mergeCell ref="I45:L45"/>
    <mergeCell ref="B48:M50"/>
    <mergeCell ref="D52:H52"/>
    <mergeCell ref="I52:L52"/>
    <mergeCell ref="I53:L53"/>
  </mergeCells>
  <conditionalFormatting sqref="M15:M21 M29:M33 M41:M45 M53:M57 M65:M69 M75:M79">
    <cfRule type="containsText" dxfId="0" priority="1" operator="containsText" text="Público Criado">
      <formula>NOT(ISERROR(SEARCH(("Público Criado"),(M15))))</formula>
    </cfRule>
  </conditionalFormatting>
  <conditionalFormatting sqref="M15:M21 M29:M33 M41:M45 M53:M57 M65:M69 M75:M79">
    <cfRule type="containsText" dxfId="1" priority="2" operator="containsText" text="Público Pendente">
      <formula>NOT(ISERROR(SEARCH(("Público Pendente"),(M15))))</formula>
    </cfRule>
  </conditionalFormatting>
  <conditionalFormatting sqref="M1 M8:M9 M13:M23 M27:M35 M39:M47 M51:M59 M63:M71 M75:M800">
    <cfRule type="containsText" dxfId="1" priority="3" operator="containsText" text="Atrasado">
      <formula>NOT(ISERROR(SEARCH(("Atrasado"),(M1))))</formula>
    </cfRule>
  </conditionalFormatting>
  <conditionalFormatting sqref="M1 M8:M9 M13:M23 M27:M35 M39:M47 M51:M59 M63:M71 M75:M800">
    <cfRule type="containsText" dxfId="2" priority="4" operator="containsText" text="Faltam">
      <formula>NOT(ISERROR(SEARCH(("Faltam"),(M1))))</formula>
    </cfRule>
  </conditionalFormatting>
  <conditionalFormatting sqref="M1 M8:M9 M13:M23 M27:M35 M39:M47 M51:M59 M63:M71 M75:M800">
    <cfRule type="containsText" dxfId="2" priority="5" operator="containsText" text="É pra">
      <formula>NOT(ISERROR(SEARCH(("É pra"),(M1))))</formula>
    </cfRule>
  </conditionalFormatting>
  <conditionalFormatting sqref="M1 M8:M9 M13:M23 M27:M35 M39:M47 M51:M59 M63:M71 M75:M800">
    <cfRule type="containsText" dxfId="0" priority="6" operator="containsText" text="Atividade Concluída">
      <formula>NOT(ISERROR(SEARCH(("Atividade Concluída"),(M1))))</formula>
    </cfRule>
  </conditionalFormatting>
  <conditionalFormatting sqref="M1 M8:M9 M13:M23 M27:M35 M39:M47 M51:M59 M63:M71 M75:M800">
    <cfRule type="containsText" dxfId="3" priority="7" operator="containsText" text="Pendente">
      <formula>NOT(ISERROR(SEARCH(("Pendente"),(M1))))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6" width="9.38"/>
    <col customWidth="1" min="7" max="7" width="4.38"/>
    <col customWidth="1" min="8" max="8" width="9.25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3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3.0</v>
      </c>
      <c r="D15" s="23" t="s">
        <v>10</v>
      </c>
      <c r="E15" s="18"/>
      <c r="F15" s="18"/>
      <c r="G15" s="18"/>
      <c r="H15" s="19"/>
      <c r="I15" s="24" t="s">
        <v>12</v>
      </c>
      <c r="J15" s="18"/>
      <c r="K15" s="18"/>
      <c r="L15" s="19"/>
      <c r="M15" s="22" t="str">
        <f t="shared" ref="M15:M21" si="1">IF(B15=TRUE,"Público Criado","Público Pendente")</f>
        <v>Público Pendente</v>
      </c>
      <c r="N15" s="1"/>
    </row>
    <row r="16" ht="15.75" customHeight="1">
      <c r="A16" s="1"/>
      <c r="B16" s="21" t="b">
        <v>0</v>
      </c>
      <c r="C16" s="22">
        <v>4.0</v>
      </c>
      <c r="D16" s="23" t="s">
        <v>15</v>
      </c>
      <c r="E16" s="18"/>
      <c r="F16" s="18"/>
      <c r="G16" s="18"/>
      <c r="H16" s="19"/>
      <c r="I16" s="24" t="s">
        <v>17</v>
      </c>
      <c r="J16" s="18"/>
      <c r="K16" s="18"/>
      <c r="L16" s="19"/>
      <c r="M16" s="22" t="str">
        <f t="shared" si="1"/>
        <v>Público Pendente</v>
      </c>
      <c r="N16" s="1"/>
    </row>
    <row r="17" ht="15.75" customHeight="1">
      <c r="A17" s="1"/>
      <c r="B17" s="21" t="b">
        <v>0</v>
      </c>
      <c r="C17" s="22">
        <v>5.0</v>
      </c>
      <c r="D17" s="23" t="s">
        <v>19</v>
      </c>
      <c r="E17" s="18"/>
      <c r="F17" s="18"/>
      <c r="G17" s="18"/>
      <c r="H17" s="19"/>
      <c r="I17" s="24" t="s">
        <v>20</v>
      </c>
      <c r="J17" s="18"/>
      <c r="K17" s="18"/>
      <c r="L17" s="19"/>
      <c r="M17" s="22" t="str">
        <f t="shared" si="1"/>
        <v>Público Pendente</v>
      </c>
      <c r="N17" s="1"/>
    </row>
    <row r="18" ht="15.75" customHeight="1">
      <c r="A18" s="1"/>
      <c r="B18" s="21" t="b">
        <v>0</v>
      </c>
      <c r="C18" s="22">
        <v>6.0</v>
      </c>
      <c r="D18" s="23" t="s">
        <v>23</v>
      </c>
      <c r="E18" s="18"/>
      <c r="F18" s="18"/>
      <c r="G18" s="18"/>
      <c r="H18" s="19"/>
      <c r="I18" s="24" t="s">
        <v>25</v>
      </c>
      <c r="J18" s="18"/>
      <c r="K18" s="18"/>
      <c r="L18" s="19"/>
      <c r="M18" s="22" t="str">
        <f t="shared" si="1"/>
        <v>Público Pendente</v>
      </c>
      <c r="N18" s="1"/>
    </row>
    <row r="19" ht="15.75" customHeight="1">
      <c r="A19" s="1"/>
      <c r="B19" s="21" t="b">
        <v>0</v>
      </c>
      <c r="C19" s="22">
        <v>7.0</v>
      </c>
      <c r="D19" s="23" t="s">
        <v>27</v>
      </c>
      <c r="E19" s="18"/>
      <c r="F19" s="18"/>
      <c r="G19" s="18"/>
      <c r="H19" s="19"/>
      <c r="I19" s="24" t="s">
        <v>28</v>
      </c>
      <c r="J19" s="18"/>
      <c r="K19" s="18"/>
      <c r="L19" s="19"/>
      <c r="M19" s="22" t="str">
        <f t="shared" si="1"/>
        <v>Público Pendente</v>
      </c>
      <c r="N19" s="1"/>
    </row>
    <row r="20" ht="15.75" customHeight="1">
      <c r="A20" s="1"/>
      <c r="B20" s="21" t="b">
        <v>0</v>
      </c>
      <c r="C20" s="22">
        <v>8.0</v>
      </c>
      <c r="D20" s="23" t="s">
        <v>30</v>
      </c>
      <c r="E20" s="18"/>
      <c r="F20" s="18"/>
      <c r="G20" s="18"/>
      <c r="H20" s="19"/>
      <c r="I20" s="24" t="s">
        <v>25</v>
      </c>
      <c r="J20" s="18"/>
      <c r="K20" s="18"/>
      <c r="L20" s="19"/>
      <c r="M20" s="22" t="str">
        <f t="shared" si="1"/>
        <v>Público Pendente</v>
      </c>
      <c r="N20" s="1"/>
    </row>
    <row r="21" ht="15.75" customHeight="1">
      <c r="A21" s="1"/>
      <c r="B21" s="21" t="b">
        <v>0</v>
      </c>
      <c r="C21" s="22">
        <v>9.0</v>
      </c>
      <c r="D21" s="23" t="s">
        <v>37</v>
      </c>
      <c r="E21" s="18"/>
      <c r="F21" s="18"/>
      <c r="G21" s="18"/>
      <c r="H21" s="19"/>
      <c r="I21" s="24" t="s">
        <v>28</v>
      </c>
      <c r="J21" s="18"/>
      <c r="K21" s="18"/>
      <c r="L21" s="19"/>
      <c r="M21" s="22" t="str">
        <f t="shared" si="1"/>
        <v>Público Pendente</v>
      </c>
      <c r="N21" s="1"/>
    </row>
    <row r="22" ht="15.75" customHeight="1">
      <c r="A22" s="1"/>
      <c r="C22" s="14"/>
      <c r="N22" s="1"/>
    </row>
    <row r="23" ht="15.75" customHeight="1">
      <c r="A23" s="1"/>
      <c r="C23" s="14"/>
      <c r="N23" s="1"/>
    </row>
    <row r="24" ht="15.75" customHeight="1">
      <c r="A24" s="25"/>
      <c r="B24" s="26" t="s">
        <v>40</v>
      </c>
      <c r="N24" s="25"/>
    </row>
    <row r="25" ht="15.75" customHeight="1">
      <c r="A25" s="25"/>
      <c r="N25" s="25"/>
    </row>
    <row r="26" ht="15.75" customHeight="1">
      <c r="A26" s="25"/>
      <c r="N26" s="25"/>
    </row>
    <row r="27" ht="15.75" customHeight="1">
      <c r="A27" s="25"/>
      <c r="C27" s="14"/>
      <c r="N27" s="25"/>
    </row>
    <row r="28" ht="15.75" customHeight="1">
      <c r="A28" s="25"/>
      <c r="B28" s="27"/>
      <c r="C28" s="27" t="s">
        <v>4</v>
      </c>
      <c r="D28" s="28" t="s">
        <v>5</v>
      </c>
      <c r="E28" s="18"/>
      <c r="F28" s="18"/>
      <c r="G28" s="18"/>
      <c r="H28" s="19"/>
      <c r="I28" s="29" t="s">
        <v>6</v>
      </c>
      <c r="J28" s="18"/>
      <c r="K28" s="18"/>
      <c r="L28" s="19"/>
      <c r="M28" s="27" t="s">
        <v>7</v>
      </c>
      <c r="N28" s="25"/>
    </row>
    <row r="29" ht="15.75" customHeight="1">
      <c r="A29" s="25"/>
      <c r="B29" s="21" t="b">
        <v>0</v>
      </c>
      <c r="C29" s="22">
        <v>1.0</v>
      </c>
      <c r="D29" s="23" t="s">
        <v>47</v>
      </c>
      <c r="E29" s="18"/>
      <c r="F29" s="18"/>
      <c r="G29" s="18"/>
      <c r="H29" s="19"/>
      <c r="I29" s="24" t="s">
        <v>48</v>
      </c>
      <c r="J29" s="18"/>
      <c r="K29" s="18"/>
      <c r="L29" s="19"/>
      <c r="M29" s="22" t="str">
        <f t="shared" ref="M29:M32" si="2">IF(B29=TRUE,"Público Criado","Público Pendente")</f>
        <v>Público Pendente</v>
      </c>
      <c r="N29" s="25"/>
    </row>
    <row r="30" ht="15.75" customHeight="1">
      <c r="A30" s="25"/>
      <c r="B30" s="21" t="b">
        <v>0</v>
      </c>
      <c r="C30" s="22">
        <v>3.0</v>
      </c>
      <c r="D30" s="23" t="s">
        <v>54</v>
      </c>
      <c r="E30" s="18"/>
      <c r="F30" s="18"/>
      <c r="G30" s="18"/>
      <c r="H30" s="19"/>
      <c r="I30" s="24" t="s">
        <v>55</v>
      </c>
      <c r="J30" s="18"/>
      <c r="K30" s="18"/>
      <c r="L30" s="19"/>
      <c r="M30" s="22" t="str">
        <f t="shared" si="2"/>
        <v>Público Pendente</v>
      </c>
      <c r="N30" s="25"/>
    </row>
    <row r="31" ht="15.75" customHeight="1">
      <c r="A31" s="25"/>
      <c r="B31" s="21" t="b">
        <v>0</v>
      </c>
      <c r="C31" s="22">
        <v>4.0</v>
      </c>
      <c r="D31" s="23" t="s">
        <v>58</v>
      </c>
      <c r="E31" s="18"/>
      <c r="F31" s="18"/>
      <c r="G31" s="18"/>
      <c r="H31" s="19"/>
      <c r="I31" s="24" t="s">
        <v>60</v>
      </c>
      <c r="J31" s="18"/>
      <c r="K31" s="18"/>
      <c r="L31" s="19"/>
      <c r="M31" s="22" t="str">
        <f t="shared" si="2"/>
        <v>Público Pendente</v>
      </c>
      <c r="N31" s="25"/>
    </row>
    <row r="32" ht="15.75" customHeight="1">
      <c r="A32" s="25"/>
      <c r="B32" s="21" t="b">
        <v>0</v>
      </c>
      <c r="C32" s="22">
        <v>5.0</v>
      </c>
      <c r="D32" s="23" t="s">
        <v>63</v>
      </c>
      <c r="E32" s="18"/>
      <c r="F32" s="18"/>
      <c r="G32" s="18"/>
      <c r="H32" s="19"/>
      <c r="I32" s="24" t="s">
        <v>66</v>
      </c>
      <c r="J32" s="18"/>
      <c r="K32" s="18"/>
      <c r="L32" s="19"/>
      <c r="M32" s="22" t="str">
        <f t="shared" si="2"/>
        <v>Público Pendente</v>
      </c>
      <c r="N32" s="25"/>
    </row>
    <row r="33" ht="15.75" customHeight="1">
      <c r="A33" s="25"/>
      <c r="C33" s="14"/>
      <c r="N33" s="25"/>
    </row>
    <row r="34" ht="15.75" customHeight="1">
      <c r="A34" s="25"/>
      <c r="C34" s="14"/>
      <c r="N34" s="25"/>
    </row>
    <row r="35" ht="15.75" customHeight="1">
      <c r="A35" s="30"/>
      <c r="B35" s="31" t="s">
        <v>69</v>
      </c>
      <c r="N35" s="30"/>
    </row>
    <row r="36" ht="15.75" customHeight="1">
      <c r="A36" s="30"/>
      <c r="N36" s="30"/>
    </row>
    <row r="37" ht="15.75" customHeight="1">
      <c r="A37" s="30"/>
      <c r="N37" s="30"/>
    </row>
    <row r="38" ht="15.75" customHeight="1">
      <c r="A38" s="30"/>
      <c r="C38" s="14"/>
      <c r="N38" s="30"/>
    </row>
    <row r="39" ht="15.75" customHeight="1">
      <c r="A39" s="30"/>
      <c r="B39" s="32"/>
      <c r="C39" s="32" t="s">
        <v>4</v>
      </c>
      <c r="D39" s="33" t="s">
        <v>5</v>
      </c>
      <c r="E39" s="18"/>
      <c r="F39" s="18"/>
      <c r="G39" s="18"/>
      <c r="H39" s="19"/>
      <c r="I39" s="34" t="s">
        <v>6</v>
      </c>
      <c r="J39" s="18"/>
      <c r="K39" s="18"/>
      <c r="L39" s="19"/>
      <c r="M39" s="32" t="s">
        <v>7</v>
      </c>
      <c r="N39" s="30"/>
    </row>
    <row r="40" ht="15.75" customHeight="1">
      <c r="A40" s="30"/>
      <c r="B40" s="21" t="b">
        <v>0</v>
      </c>
      <c r="C40" s="22">
        <v>1.0</v>
      </c>
      <c r="D40" s="23" t="s">
        <v>76</v>
      </c>
      <c r="E40" s="18"/>
      <c r="F40" s="18"/>
      <c r="G40" s="18"/>
      <c r="H40" s="19"/>
      <c r="I40" s="24" t="s">
        <v>77</v>
      </c>
      <c r="J40" s="18"/>
      <c r="K40" s="18"/>
      <c r="L40" s="19"/>
      <c r="M40" s="22" t="str">
        <f t="shared" ref="M40:M43" si="3">IF(B40=TRUE,"Público Criado","Público Pendente")</f>
        <v>Público Pendente</v>
      </c>
      <c r="N40" s="30"/>
    </row>
    <row r="41" ht="15.75" customHeight="1">
      <c r="A41" s="30"/>
      <c r="B41" s="21" t="b">
        <v>0</v>
      </c>
      <c r="C41" s="22">
        <v>3.0</v>
      </c>
      <c r="D41" s="23" t="s">
        <v>81</v>
      </c>
      <c r="E41" s="18"/>
      <c r="F41" s="18"/>
      <c r="G41" s="18"/>
      <c r="H41" s="19"/>
      <c r="I41" s="24" t="s">
        <v>82</v>
      </c>
      <c r="J41" s="18"/>
      <c r="K41" s="18"/>
      <c r="L41" s="19"/>
      <c r="M41" s="22" t="str">
        <f t="shared" si="3"/>
        <v>Público Pendente</v>
      </c>
      <c r="N41" s="30"/>
    </row>
    <row r="42" ht="15.75" customHeight="1">
      <c r="A42" s="30"/>
      <c r="B42" s="21" t="b">
        <v>0</v>
      </c>
      <c r="C42" s="22">
        <v>4.0</v>
      </c>
      <c r="D42" s="23" t="s">
        <v>88</v>
      </c>
      <c r="E42" s="18"/>
      <c r="F42" s="18"/>
      <c r="G42" s="18"/>
      <c r="H42" s="19"/>
      <c r="I42" s="24" t="s">
        <v>89</v>
      </c>
      <c r="J42" s="18"/>
      <c r="K42" s="18"/>
      <c r="L42" s="19"/>
      <c r="M42" s="22" t="str">
        <f t="shared" si="3"/>
        <v>Público Pendente</v>
      </c>
      <c r="N42" s="30"/>
    </row>
    <row r="43" ht="15.75" customHeight="1">
      <c r="A43" s="30"/>
      <c r="B43" s="21" t="b">
        <v>0</v>
      </c>
      <c r="C43" s="22">
        <v>5.0</v>
      </c>
      <c r="D43" s="23" t="s">
        <v>91</v>
      </c>
      <c r="E43" s="18"/>
      <c r="F43" s="18"/>
      <c r="G43" s="18"/>
      <c r="H43" s="19"/>
      <c r="I43" s="24" t="s">
        <v>94</v>
      </c>
      <c r="J43" s="18"/>
      <c r="K43" s="18"/>
      <c r="L43" s="19"/>
      <c r="M43" s="22" t="str">
        <f t="shared" si="3"/>
        <v>Público Pendente</v>
      </c>
      <c r="N43" s="30"/>
    </row>
    <row r="44" ht="15.75" customHeight="1">
      <c r="A44" s="30"/>
      <c r="C44" s="14"/>
      <c r="N44" s="30"/>
    </row>
    <row r="45" ht="15.75" customHeight="1">
      <c r="A45" s="30"/>
      <c r="C45" s="14"/>
      <c r="N45" s="30"/>
    </row>
    <row r="46" ht="15.75" customHeight="1">
      <c r="A46" s="43"/>
      <c r="B46" s="44" t="s">
        <v>97</v>
      </c>
      <c r="N46" s="43"/>
    </row>
    <row r="47" ht="15.75" customHeight="1">
      <c r="A47" s="43"/>
      <c r="N47" s="43"/>
    </row>
    <row r="48" ht="15.75" customHeight="1">
      <c r="A48" s="43"/>
      <c r="N48" s="43"/>
    </row>
    <row r="49" ht="15.75" customHeight="1">
      <c r="A49" s="43"/>
      <c r="C49" s="14"/>
      <c r="N49" s="43"/>
    </row>
    <row r="50" ht="15.75" customHeight="1">
      <c r="A50" s="43"/>
      <c r="B50" s="45"/>
      <c r="C50" s="45" t="s">
        <v>4</v>
      </c>
      <c r="D50" s="46" t="s">
        <v>5</v>
      </c>
      <c r="E50" s="18"/>
      <c r="F50" s="18"/>
      <c r="G50" s="18"/>
      <c r="H50" s="19"/>
      <c r="I50" s="47" t="s">
        <v>6</v>
      </c>
      <c r="J50" s="18"/>
      <c r="K50" s="18"/>
      <c r="L50" s="19"/>
      <c r="M50" s="45" t="s">
        <v>7</v>
      </c>
      <c r="N50" s="43"/>
    </row>
    <row r="51" ht="15.75" customHeight="1">
      <c r="A51" s="43"/>
      <c r="B51" s="21" t="b">
        <v>0</v>
      </c>
      <c r="C51" s="22">
        <v>1.0</v>
      </c>
      <c r="D51" s="23" t="s">
        <v>107</v>
      </c>
      <c r="E51" s="18"/>
      <c r="F51" s="18"/>
      <c r="G51" s="18"/>
      <c r="H51" s="19"/>
      <c r="I51" s="24" t="s">
        <v>109</v>
      </c>
      <c r="J51" s="18"/>
      <c r="K51" s="18"/>
      <c r="L51" s="19"/>
      <c r="M51" s="22" t="str">
        <f t="shared" ref="M51:M54" si="4">IF(B51=TRUE,"Público Criado","Público Pendente")</f>
        <v>Público Pendente</v>
      </c>
      <c r="N51" s="43"/>
    </row>
    <row r="52" ht="15.75" customHeight="1">
      <c r="A52" s="43"/>
      <c r="B52" s="21" t="b">
        <v>0</v>
      </c>
      <c r="C52" s="22">
        <v>3.0</v>
      </c>
      <c r="D52" s="23" t="s">
        <v>110</v>
      </c>
      <c r="E52" s="18"/>
      <c r="F52" s="18"/>
      <c r="G52" s="18"/>
      <c r="H52" s="19"/>
      <c r="I52" s="24" t="s">
        <v>113</v>
      </c>
      <c r="J52" s="18"/>
      <c r="K52" s="18"/>
      <c r="L52" s="19"/>
      <c r="M52" s="22" t="str">
        <f t="shared" si="4"/>
        <v>Público Pendente</v>
      </c>
      <c r="N52" s="43"/>
    </row>
    <row r="53" ht="15.75" customHeight="1">
      <c r="A53" s="43"/>
      <c r="B53" s="21" t="b">
        <v>0</v>
      </c>
      <c r="C53" s="22">
        <v>4.0</v>
      </c>
      <c r="D53" s="23" t="s">
        <v>115</v>
      </c>
      <c r="E53" s="18"/>
      <c r="F53" s="18"/>
      <c r="G53" s="18"/>
      <c r="H53" s="19"/>
      <c r="I53" s="24" t="s">
        <v>117</v>
      </c>
      <c r="J53" s="18"/>
      <c r="K53" s="18"/>
      <c r="L53" s="19"/>
      <c r="M53" s="22" t="str">
        <f t="shared" si="4"/>
        <v>Público Pendente</v>
      </c>
      <c r="N53" s="43"/>
    </row>
    <row r="54" ht="15.75" customHeight="1">
      <c r="A54" s="43"/>
      <c r="B54" s="21" t="b">
        <v>0</v>
      </c>
      <c r="C54" s="22">
        <v>5.0</v>
      </c>
      <c r="D54" s="23" t="s">
        <v>119</v>
      </c>
      <c r="E54" s="18"/>
      <c r="F54" s="18"/>
      <c r="G54" s="18"/>
      <c r="H54" s="19"/>
      <c r="I54" s="24" t="s">
        <v>120</v>
      </c>
      <c r="J54" s="18"/>
      <c r="K54" s="18"/>
      <c r="L54" s="19"/>
      <c r="M54" s="22" t="str">
        <f t="shared" si="4"/>
        <v>Público Pendente</v>
      </c>
      <c r="N54" s="43"/>
    </row>
    <row r="55" ht="15.75" customHeight="1">
      <c r="A55" s="43"/>
      <c r="N55" s="43"/>
    </row>
    <row r="56" ht="15.75" customHeight="1">
      <c r="A56" s="43"/>
      <c r="C56" s="14"/>
      <c r="N56" s="43"/>
    </row>
    <row r="57" ht="15.75" customHeight="1">
      <c r="A57" s="48"/>
      <c r="B57" s="49" t="s">
        <v>111</v>
      </c>
      <c r="N57" s="48"/>
    </row>
    <row r="58" ht="15.75" customHeight="1">
      <c r="A58" s="48"/>
      <c r="N58" s="48"/>
    </row>
    <row r="59" ht="15.75" customHeight="1">
      <c r="A59" s="48"/>
      <c r="N59" s="48"/>
    </row>
    <row r="60" ht="15.75" customHeight="1">
      <c r="A60" s="48"/>
      <c r="C60" s="14"/>
      <c r="N60" s="48"/>
    </row>
    <row r="61" ht="15.75" customHeight="1">
      <c r="A61" s="48"/>
      <c r="B61" s="50"/>
      <c r="C61" s="50" t="s">
        <v>4</v>
      </c>
      <c r="D61" s="51" t="s">
        <v>5</v>
      </c>
      <c r="E61" s="18"/>
      <c r="F61" s="18"/>
      <c r="G61" s="18"/>
      <c r="H61" s="19"/>
      <c r="I61" s="52" t="s">
        <v>6</v>
      </c>
      <c r="J61" s="18"/>
      <c r="K61" s="18"/>
      <c r="L61" s="19"/>
      <c r="M61" s="50" t="s">
        <v>7</v>
      </c>
      <c r="N61" s="48"/>
    </row>
    <row r="62" ht="15.75" customHeight="1">
      <c r="A62" s="48"/>
      <c r="B62" s="21" t="b">
        <v>0</v>
      </c>
      <c r="C62" s="22">
        <v>1.0</v>
      </c>
      <c r="D62" s="23" t="s">
        <v>128</v>
      </c>
      <c r="E62" s="18"/>
      <c r="F62" s="18"/>
      <c r="G62" s="18"/>
      <c r="H62" s="19"/>
      <c r="I62" s="24" t="s">
        <v>130</v>
      </c>
      <c r="J62" s="18"/>
      <c r="K62" s="18"/>
      <c r="L62" s="19"/>
      <c r="M62" s="22" t="str">
        <f t="shared" ref="M62:M65" si="5">IF(B62=TRUE,"Público Criado","Público Pendente")</f>
        <v>Público Pendente</v>
      </c>
      <c r="N62" s="48"/>
    </row>
    <row r="63" ht="15.75" customHeight="1">
      <c r="A63" s="48"/>
      <c r="B63" s="21" t="b">
        <v>0</v>
      </c>
      <c r="C63" s="22">
        <v>3.0</v>
      </c>
      <c r="D63" s="23" t="s">
        <v>134</v>
      </c>
      <c r="E63" s="18"/>
      <c r="F63" s="18"/>
      <c r="G63" s="18"/>
      <c r="H63" s="19"/>
      <c r="I63" s="24" t="s">
        <v>136</v>
      </c>
      <c r="J63" s="18"/>
      <c r="K63" s="18"/>
      <c r="L63" s="19"/>
      <c r="M63" s="22" t="str">
        <f t="shared" si="5"/>
        <v>Público Pendente</v>
      </c>
      <c r="N63" s="48"/>
    </row>
    <row r="64" ht="15.75" customHeight="1">
      <c r="A64" s="48"/>
      <c r="B64" s="21" t="b">
        <v>0</v>
      </c>
      <c r="C64" s="22">
        <v>4.0</v>
      </c>
      <c r="D64" s="23" t="s">
        <v>140</v>
      </c>
      <c r="E64" s="18"/>
      <c r="F64" s="18"/>
      <c r="G64" s="18"/>
      <c r="H64" s="19"/>
      <c r="I64" s="24" t="s">
        <v>141</v>
      </c>
      <c r="J64" s="18"/>
      <c r="K64" s="18"/>
      <c r="L64" s="19"/>
      <c r="M64" s="22" t="str">
        <f t="shared" si="5"/>
        <v>Público Pendente</v>
      </c>
      <c r="N64" s="48"/>
    </row>
    <row r="65" ht="15.75" customHeight="1">
      <c r="A65" s="48"/>
      <c r="B65" s="21" t="b">
        <v>0</v>
      </c>
      <c r="C65" s="22">
        <v>5.0</v>
      </c>
      <c r="D65" s="23" t="s">
        <v>143</v>
      </c>
      <c r="E65" s="18"/>
      <c r="F65" s="18"/>
      <c r="G65" s="18"/>
      <c r="H65" s="19"/>
      <c r="I65" s="24" t="s">
        <v>146</v>
      </c>
      <c r="J65" s="18"/>
      <c r="K65" s="18"/>
      <c r="L65" s="19"/>
      <c r="M65" s="22" t="str">
        <f t="shared" si="5"/>
        <v>Público Pendente</v>
      </c>
      <c r="N65" s="48"/>
    </row>
    <row r="66" ht="15.75" customHeight="1">
      <c r="A66" s="48"/>
      <c r="C66" s="14"/>
      <c r="N66" s="48"/>
    </row>
    <row r="67" ht="15.75" customHeight="1">
      <c r="A67" s="48"/>
      <c r="C67" s="14"/>
      <c r="N67" s="48"/>
    </row>
    <row r="68" ht="15.75" customHeight="1">
      <c r="A68" s="53"/>
      <c r="B68" s="54" t="s">
        <v>148</v>
      </c>
      <c r="N68" s="53"/>
    </row>
    <row r="69" ht="15.75" customHeight="1">
      <c r="A69" s="53"/>
      <c r="N69" s="53"/>
    </row>
    <row r="70" ht="15.75" customHeight="1">
      <c r="A70" s="53"/>
      <c r="N70" s="53"/>
    </row>
    <row r="71" ht="15.75" customHeight="1">
      <c r="A71" s="53"/>
      <c r="C71" s="14"/>
      <c r="N71" s="53"/>
    </row>
    <row r="72" ht="15.75" customHeight="1">
      <c r="A72" s="53"/>
      <c r="B72" s="55"/>
      <c r="C72" s="55" t="s">
        <v>4</v>
      </c>
      <c r="D72" s="56" t="s">
        <v>5</v>
      </c>
      <c r="E72" s="18"/>
      <c r="F72" s="18"/>
      <c r="G72" s="18"/>
      <c r="H72" s="19"/>
      <c r="I72" s="57" t="s">
        <v>6</v>
      </c>
      <c r="J72" s="18"/>
      <c r="K72" s="18"/>
      <c r="L72" s="19"/>
      <c r="M72" s="55" t="s">
        <v>7</v>
      </c>
      <c r="N72" s="53"/>
    </row>
    <row r="73" ht="15.75" customHeight="1">
      <c r="A73" s="53"/>
      <c r="B73" s="21" t="b">
        <v>0</v>
      </c>
      <c r="C73" s="22">
        <v>1.0</v>
      </c>
      <c r="D73" s="23" t="s">
        <v>153</v>
      </c>
      <c r="E73" s="18"/>
      <c r="F73" s="18"/>
      <c r="G73" s="18"/>
      <c r="H73" s="19"/>
      <c r="I73" s="24" t="s">
        <v>155</v>
      </c>
      <c r="J73" s="18"/>
      <c r="K73" s="18"/>
      <c r="L73" s="19"/>
      <c r="M73" s="22" t="str">
        <f t="shared" ref="M73:M76" si="6">IF(B73=TRUE,"Público Criado","Público Pendente")</f>
        <v>Público Pendente</v>
      </c>
      <c r="N73" s="53"/>
    </row>
    <row r="74" ht="15.75" customHeight="1">
      <c r="A74" s="53"/>
      <c r="B74" s="21" t="b">
        <v>0</v>
      </c>
      <c r="C74" s="22">
        <v>3.0</v>
      </c>
      <c r="D74" s="23" t="s">
        <v>159</v>
      </c>
      <c r="E74" s="18"/>
      <c r="F74" s="18"/>
      <c r="G74" s="18"/>
      <c r="H74" s="19"/>
      <c r="I74" s="24" t="s">
        <v>161</v>
      </c>
      <c r="J74" s="18"/>
      <c r="K74" s="18"/>
      <c r="L74" s="19"/>
      <c r="M74" s="22" t="str">
        <f t="shared" si="6"/>
        <v>Público Pendente</v>
      </c>
      <c r="N74" s="53"/>
    </row>
    <row r="75" ht="15.75" customHeight="1">
      <c r="A75" s="53"/>
      <c r="B75" s="21" t="b">
        <v>0</v>
      </c>
      <c r="C75" s="22">
        <v>4.0</v>
      </c>
      <c r="D75" s="23" t="s">
        <v>164</v>
      </c>
      <c r="E75" s="18"/>
      <c r="F75" s="18"/>
      <c r="G75" s="18"/>
      <c r="H75" s="19"/>
      <c r="I75" s="24" t="s">
        <v>166</v>
      </c>
      <c r="J75" s="18"/>
      <c r="K75" s="18"/>
      <c r="L75" s="19"/>
      <c r="M75" s="22" t="str">
        <f t="shared" si="6"/>
        <v>Público Pendente</v>
      </c>
      <c r="N75" s="53"/>
    </row>
    <row r="76" ht="15.75" customHeight="1">
      <c r="A76" s="53"/>
      <c r="B76" s="21" t="b">
        <v>0</v>
      </c>
      <c r="C76" s="22">
        <v>5.0</v>
      </c>
      <c r="D76" s="23" t="s">
        <v>168</v>
      </c>
      <c r="E76" s="18"/>
      <c r="F76" s="18"/>
      <c r="G76" s="18"/>
      <c r="H76" s="19"/>
      <c r="I76" s="24" t="s">
        <v>170</v>
      </c>
      <c r="J76" s="18"/>
      <c r="K76" s="18"/>
      <c r="L76" s="19"/>
      <c r="M76" s="22" t="str">
        <f t="shared" si="6"/>
        <v>Público Pendente</v>
      </c>
      <c r="N76" s="53"/>
    </row>
    <row r="77" ht="15.75" customHeight="1">
      <c r="A77" s="53"/>
      <c r="C77" s="14"/>
      <c r="N77" s="53"/>
    </row>
    <row r="78" ht="15.75" customHeight="1">
      <c r="A78" s="53"/>
      <c r="C78" s="14"/>
      <c r="N78" s="53"/>
    </row>
    <row r="79" ht="15.0" customHeight="1">
      <c r="A79" s="25"/>
      <c r="B79" s="26" t="s">
        <v>173</v>
      </c>
      <c r="N79" s="25"/>
    </row>
    <row r="80" ht="15.75" customHeight="1">
      <c r="A80" s="25"/>
      <c r="N80" s="25"/>
    </row>
    <row r="81" ht="15.75" customHeight="1">
      <c r="A81" s="25"/>
      <c r="N81" s="25"/>
    </row>
    <row r="82" ht="15.75" customHeight="1">
      <c r="A82" s="25"/>
      <c r="C82" s="14"/>
      <c r="N82" s="25"/>
    </row>
    <row r="83" ht="15.75" customHeight="1">
      <c r="A83" s="25"/>
      <c r="B83" s="27"/>
      <c r="C83" s="27" t="s">
        <v>4</v>
      </c>
      <c r="D83" s="28" t="s">
        <v>5</v>
      </c>
      <c r="E83" s="18"/>
      <c r="F83" s="18"/>
      <c r="G83" s="18"/>
      <c r="H83" s="19"/>
      <c r="I83" s="29" t="s">
        <v>6</v>
      </c>
      <c r="J83" s="18"/>
      <c r="K83" s="18"/>
      <c r="L83" s="19"/>
      <c r="M83" s="27" t="s">
        <v>7</v>
      </c>
      <c r="N83" s="25"/>
    </row>
    <row r="84" ht="15.75" customHeight="1">
      <c r="A84" s="25"/>
      <c r="B84" s="21" t="b">
        <v>0</v>
      </c>
      <c r="C84" s="22">
        <v>1.0</v>
      </c>
      <c r="D84" s="23" t="s">
        <v>181</v>
      </c>
      <c r="E84" s="18"/>
      <c r="F84" s="18"/>
      <c r="G84" s="18"/>
      <c r="H84" s="19"/>
      <c r="I84" s="24" t="s">
        <v>183</v>
      </c>
      <c r="J84" s="18"/>
      <c r="K84" s="18"/>
      <c r="L84" s="19"/>
      <c r="M84" s="22" t="str">
        <f>IF(B84=TRUE,"Público Criado","Público Pendente")</f>
        <v>Público Pendente</v>
      </c>
      <c r="N84" s="25"/>
    </row>
    <row r="85" ht="15.75" customHeight="1">
      <c r="A85" s="25"/>
      <c r="C85" s="14"/>
      <c r="N85" s="25"/>
    </row>
    <row r="86" ht="15.75" customHeight="1">
      <c r="A86" s="25"/>
      <c r="C86" s="14"/>
      <c r="N86" s="25"/>
    </row>
    <row r="87" ht="15.75" hidden="1" customHeight="1">
      <c r="A87" s="1"/>
      <c r="C87" s="14"/>
      <c r="N87" s="1"/>
    </row>
    <row r="88" ht="15.75" hidden="1" customHeight="1">
      <c r="A88" s="1"/>
      <c r="C88" s="14"/>
      <c r="N88" s="1"/>
    </row>
    <row r="89" ht="15.75" hidden="1" customHeight="1">
      <c r="A89" s="1"/>
      <c r="C89" s="14"/>
      <c r="N89" s="1"/>
    </row>
    <row r="90" ht="15.75" hidden="1" customHeight="1">
      <c r="A90" s="1"/>
      <c r="C90" s="14"/>
      <c r="N90" s="1"/>
    </row>
    <row r="91" ht="15.75" hidden="1" customHeight="1">
      <c r="A91" s="1"/>
      <c r="C91" s="14"/>
      <c r="N91" s="1"/>
    </row>
    <row r="92" ht="15.75" hidden="1" customHeight="1">
      <c r="A92" s="1"/>
      <c r="C92" s="14"/>
      <c r="N92" s="1"/>
    </row>
    <row r="93" ht="15.75" hidden="1" customHeight="1">
      <c r="A93" s="1"/>
      <c r="C93" s="14"/>
      <c r="N93" s="1"/>
    </row>
    <row r="94" ht="15.75" hidden="1" customHeight="1">
      <c r="A94" s="1"/>
      <c r="C94" s="14"/>
      <c r="N94" s="1"/>
    </row>
    <row r="95" ht="15.75" hidden="1" customHeight="1">
      <c r="A95" s="1"/>
      <c r="C95" s="14"/>
      <c r="N95" s="1"/>
    </row>
    <row r="96" ht="15.75" hidden="1" customHeight="1">
      <c r="A96" s="1"/>
      <c r="C96" s="14"/>
      <c r="N96" s="1"/>
    </row>
    <row r="97" ht="15.75" hidden="1" customHeight="1">
      <c r="A97" s="1"/>
      <c r="C97" s="14"/>
      <c r="N97" s="1"/>
    </row>
    <row r="98" ht="15.75" hidden="1" customHeight="1">
      <c r="A98" s="1"/>
      <c r="C98" s="14"/>
      <c r="N98" s="1"/>
    </row>
    <row r="99" ht="15.75" hidden="1" customHeight="1">
      <c r="A99" s="1"/>
      <c r="C99" s="14"/>
      <c r="N99" s="1"/>
    </row>
    <row r="100" ht="15.75" hidden="1" customHeight="1">
      <c r="A100" s="1"/>
      <c r="C100" s="14"/>
      <c r="N100" s="1"/>
    </row>
    <row r="101" ht="15.75" hidden="1" customHeight="1">
      <c r="A101" s="1"/>
      <c r="C101" s="14"/>
      <c r="N101" s="1"/>
    </row>
    <row r="102" ht="15.75" hidden="1" customHeight="1">
      <c r="A102" s="1"/>
      <c r="C102" s="14"/>
      <c r="N102" s="1"/>
    </row>
    <row r="103" ht="15.75" hidden="1" customHeight="1">
      <c r="A103" s="1"/>
      <c r="C103" s="14"/>
      <c r="N103" s="1"/>
    </row>
    <row r="104" ht="15.75" hidden="1" customHeight="1">
      <c r="A104" s="1"/>
      <c r="C104" s="14"/>
      <c r="N104" s="1"/>
    </row>
    <row r="105" ht="15.75" hidden="1" customHeight="1">
      <c r="A105" s="1"/>
      <c r="C105" s="14"/>
      <c r="N105" s="1"/>
    </row>
    <row r="106" ht="15.75" hidden="1" customHeight="1">
      <c r="A106" s="1"/>
      <c r="C106" s="14"/>
      <c r="N106" s="1"/>
    </row>
    <row r="107" ht="15.75" hidden="1" customHeight="1">
      <c r="A107" s="1"/>
      <c r="C107" s="14"/>
      <c r="N107" s="1"/>
    </row>
    <row r="108" ht="15.75" hidden="1" customHeight="1">
      <c r="A108" s="1"/>
      <c r="C108" s="14"/>
      <c r="N108" s="1"/>
    </row>
    <row r="109" ht="15.75" hidden="1" customHeight="1">
      <c r="A109" s="1"/>
      <c r="C109" s="14"/>
      <c r="N109" s="1"/>
    </row>
    <row r="110" ht="15.75" hidden="1" customHeight="1">
      <c r="A110" s="1"/>
      <c r="C110" s="14"/>
      <c r="N110" s="1"/>
    </row>
    <row r="111" ht="15.75" hidden="1" customHeight="1">
      <c r="A111" s="1"/>
      <c r="C111" s="14"/>
      <c r="N111" s="1"/>
    </row>
    <row r="112" ht="15.75" hidden="1" customHeight="1">
      <c r="A112" s="1"/>
      <c r="C112" s="14"/>
      <c r="N112" s="1"/>
    </row>
    <row r="113" ht="15.75" hidden="1" customHeight="1">
      <c r="A113" s="1"/>
      <c r="C113" s="14"/>
      <c r="N113" s="1"/>
    </row>
    <row r="114" ht="15.75" hidden="1" customHeight="1">
      <c r="A114" s="1"/>
      <c r="C114" s="14"/>
      <c r="N114" s="1"/>
    </row>
    <row r="115" ht="15.75" hidden="1" customHeight="1">
      <c r="A115" s="1"/>
      <c r="C115" s="14"/>
      <c r="N115" s="1"/>
    </row>
    <row r="116" ht="15.75" hidden="1" customHeight="1">
      <c r="A116" s="1"/>
      <c r="C116" s="14"/>
      <c r="N116" s="1"/>
    </row>
    <row r="117" ht="15.75" hidden="1" customHeight="1">
      <c r="A117" s="1"/>
      <c r="C117" s="14"/>
      <c r="N117" s="1"/>
    </row>
    <row r="118" ht="15.75" hidden="1" customHeight="1">
      <c r="A118" s="1"/>
      <c r="C118" s="14"/>
      <c r="N118" s="1"/>
    </row>
    <row r="119" ht="15.75" hidden="1" customHeight="1">
      <c r="A119" s="1"/>
      <c r="C119" s="14"/>
      <c r="N119" s="1"/>
    </row>
    <row r="120" ht="15.75" hidden="1" customHeight="1">
      <c r="A120" s="1"/>
      <c r="C120" s="14"/>
      <c r="N120" s="1"/>
    </row>
    <row r="121" ht="15.75" hidden="1" customHeight="1">
      <c r="A121" s="1"/>
      <c r="C121" s="14"/>
      <c r="N121" s="1"/>
    </row>
    <row r="122" ht="15.75" hidden="1" customHeight="1">
      <c r="A122" s="1"/>
      <c r="C122" s="14"/>
      <c r="N122" s="1"/>
    </row>
    <row r="123" ht="15.75" hidden="1" customHeight="1">
      <c r="A123" s="1"/>
      <c r="C123" s="14"/>
      <c r="N123" s="1"/>
    </row>
    <row r="124" ht="15.75" hidden="1" customHeight="1">
      <c r="A124" s="1"/>
      <c r="C124" s="14"/>
      <c r="N124" s="1"/>
    </row>
    <row r="125" ht="15.75" hidden="1" customHeight="1">
      <c r="A125" s="1"/>
      <c r="C125" s="14"/>
      <c r="N125" s="1"/>
    </row>
    <row r="126" ht="15.75" hidden="1" customHeight="1">
      <c r="A126" s="1"/>
      <c r="C126" s="14"/>
      <c r="N126" s="1"/>
    </row>
    <row r="127" ht="15.75" hidden="1" customHeight="1">
      <c r="A127" s="1"/>
      <c r="C127" s="14"/>
      <c r="N127" s="1"/>
    </row>
    <row r="128" ht="15.75" hidden="1" customHeight="1">
      <c r="A128" s="1"/>
      <c r="C128" s="14"/>
      <c r="N128" s="1"/>
    </row>
    <row r="129" ht="15.75" hidden="1" customHeight="1">
      <c r="A129" s="1"/>
      <c r="C129" s="14"/>
      <c r="N129" s="1"/>
    </row>
    <row r="130" ht="15.75" hidden="1" customHeight="1">
      <c r="A130" s="1"/>
      <c r="C130" s="14"/>
      <c r="N130" s="1"/>
    </row>
    <row r="131" ht="15.75" hidden="1" customHeight="1">
      <c r="A131" s="1"/>
      <c r="C131" s="14"/>
      <c r="N131" s="1"/>
    </row>
    <row r="132" ht="15.75" hidden="1" customHeight="1">
      <c r="A132" s="1"/>
      <c r="C132" s="14"/>
      <c r="N132" s="1"/>
    </row>
    <row r="133" ht="15.75" hidden="1" customHeight="1">
      <c r="A133" s="1"/>
      <c r="C133" s="14"/>
      <c r="N133" s="1"/>
    </row>
    <row r="134" ht="15.75" hidden="1" customHeight="1">
      <c r="A134" s="1"/>
      <c r="C134" s="14"/>
      <c r="N134" s="1"/>
    </row>
    <row r="135" ht="15.75" hidden="1" customHeight="1">
      <c r="A135" s="1"/>
      <c r="C135" s="14"/>
      <c r="N135" s="1"/>
    </row>
    <row r="136" ht="15.75" hidden="1" customHeight="1">
      <c r="A136" s="1"/>
      <c r="C136" s="14"/>
      <c r="N136" s="1"/>
    </row>
    <row r="137" ht="15.75" hidden="1" customHeight="1">
      <c r="A137" s="1"/>
      <c r="C137" s="14"/>
      <c r="N137" s="1"/>
    </row>
    <row r="138" ht="15.75" hidden="1" customHeight="1">
      <c r="A138" s="1"/>
      <c r="C138" s="14"/>
      <c r="N138" s="1"/>
    </row>
    <row r="139" ht="15.75" hidden="1" customHeight="1">
      <c r="A139" s="1"/>
      <c r="C139" s="14"/>
      <c r="N139" s="1"/>
    </row>
    <row r="140" ht="15.75" hidden="1" customHeight="1">
      <c r="A140" s="1"/>
      <c r="C140" s="14"/>
      <c r="N140" s="1"/>
    </row>
    <row r="141" ht="15.75" hidden="1" customHeight="1">
      <c r="A141" s="1"/>
      <c r="C141" s="14"/>
      <c r="N141" s="1"/>
    </row>
    <row r="142" ht="15.75" hidden="1" customHeight="1">
      <c r="A142" s="1"/>
      <c r="C142" s="14"/>
      <c r="N142" s="1"/>
    </row>
    <row r="143" ht="15.75" hidden="1" customHeight="1">
      <c r="A143" s="1"/>
      <c r="C143" s="14"/>
      <c r="N143" s="1"/>
    </row>
    <row r="144" ht="15.75" hidden="1" customHeight="1">
      <c r="A144" s="1"/>
      <c r="C144" s="14"/>
      <c r="N144" s="1"/>
    </row>
    <row r="145" ht="15.75" hidden="1" customHeight="1">
      <c r="A145" s="1"/>
      <c r="C145" s="14"/>
      <c r="N145" s="1"/>
    </row>
    <row r="146" ht="15.75" hidden="1" customHeight="1">
      <c r="A146" s="1"/>
      <c r="C146" s="14"/>
      <c r="N146" s="1"/>
    </row>
    <row r="147" ht="15.75" hidden="1" customHeight="1">
      <c r="A147" s="1"/>
      <c r="C147" s="14"/>
      <c r="N147" s="1"/>
    </row>
    <row r="148" ht="15.75" hidden="1" customHeight="1">
      <c r="A148" s="1"/>
      <c r="C148" s="14"/>
      <c r="N148" s="1"/>
    </row>
    <row r="149" ht="15.75" hidden="1" customHeight="1">
      <c r="A149" s="1"/>
      <c r="C149" s="14"/>
      <c r="N149" s="1"/>
    </row>
    <row r="150" ht="15.75" hidden="1" customHeight="1">
      <c r="A150" s="1"/>
      <c r="C150" s="14"/>
      <c r="N150" s="1"/>
    </row>
    <row r="151" ht="15.75" hidden="1" customHeight="1">
      <c r="A151" s="1"/>
      <c r="C151" s="14"/>
      <c r="N151" s="1"/>
    </row>
    <row r="152" ht="15.75" hidden="1" customHeight="1">
      <c r="A152" s="1"/>
      <c r="C152" s="14"/>
      <c r="N152" s="1"/>
    </row>
    <row r="153" ht="15.75" hidden="1" customHeight="1">
      <c r="A153" s="1"/>
      <c r="C153" s="14"/>
      <c r="N153" s="1"/>
    </row>
    <row r="154" ht="15.75" hidden="1" customHeight="1">
      <c r="A154" s="1"/>
      <c r="C154" s="14"/>
      <c r="N154" s="1"/>
    </row>
    <row r="155" ht="15.75" hidden="1" customHeight="1">
      <c r="A155" s="1"/>
      <c r="C155" s="14"/>
      <c r="N155" s="1"/>
    </row>
    <row r="156" ht="15.75" hidden="1" customHeight="1">
      <c r="A156" s="1"/>
      <c r="C156" s="14"/>
      <c r="N156" s="1"/>
    </row>
    <row r="157" ht="15.75" hidden="1" customHeight="1">
      <c r="A157" s="1"/>
      <c r="C157" s="14"/>
      <c r="N157" s="1"/>
    </row>
    <row r="158" ht="15.75" hidden="1" customHeight="1">
      <c r="A158" s="1"/>
      <c r="C158" s="14"/>
      <c r="N158" s="1"/>
    </row>
    <row r="159" ht="15.75" hidden="1" customHeight="1">
      <c r="A159" s="1"/>
      <c r="C159" s="14"/>
      <c r="N159" s="1"/>
    </row>
    <row r="160" ht="15.75" hidden="1" customHeight="1">
      <c r="A160" s="1"/>
      <c r="C160" s="14"/>
      <c r="N160" s="1"/>
    </row>
    <row r="161" ht="15.75" hidden="1" customHeight="1">
      <c r="A161" s="1"/>
      <c r="C161" s="14"/>
      <c r="N161" s="1"/>
    </row>
    <row r="162" ht="15.75" hidden="1" customHeight="1">
      <c r="A162" s="1"/>
      <c r="C162" s="14"/>
      <c r="N162" s="1"/>
    </row>
    <row r="163" ht="15.75" hidden="1" customHeight="1">
      <c r="A163" s="1"/>
      <c r="C163" s="14"/>
      <c r="N163" s="1"/>
    </row>
    <row r="164" ht="15.75" hidden="1" customHeight="1">
      <c r="A164" s="1"/>
      <c r="C164" s="14"/>
      <c r="N164" s="1"/>
    </row>
    <row r="165" ht="15.75" hidden="1" customHeight="1">
      <c r="A165" s="1"/>
      <c r="C165" s="14"/>
      <c r="N165" s="1"/>
    </row>
    <row r="166" ht="15.75" hidden="1" customHeight="1">
      <c r="A166" s="1"/>
      <c r="C166" s="14"/>
      <c r="N166" s="1"/>
    </row>
    <row r="167" ht="15.75" hidden="1" customHeight="1">
      <c r="A167" s="1"/>
      <c r="C167" s="14"/>
      <c r="N167" s="1"/>
    </row>
    <row r="168" ht="15.75" hidden="1" customHeight="1">
      <c r="A168" s="1"/>
      <c r="C168" s="14"/>
      <c r="N168" s="1"/>
    </row>
    <row r="169" ht="15.75" hidden="1" customHeight="1">
      <c r="A169" s="1"/>
      <c r="C169" s="14"/>
      <c r="N169" s="1"/>
    </row>
    <row r="170" ht="15.75" hidden="1" customHeight="1">
      <c r="A170" s="1"/>
      <c r="C170" s="14"/>
      <c r="N170" s="1"/>
    </row>
    <row r="171" ht="15.75" hidden="1" customHeight="1">
      <c r="A171" s="1"/>
      <c r="C171" s="14"/>
      <c r="N171" s="1"/>
    </row>
    <row r="172" ht="15.75" hidden="1" customHeight="1">
      <c r="A172" s="1"/>
      <c r="C172" s="14"/>
      <c r="N172" s="1"/>
    </row>
    <row r="173" ht="15.75" hidden="1" customHeight="1">
      <c r="A173" s="1"/>
      <c r="C173" s="14"/>
      <c r="N173" s="1"/>
    </row>
    <row r="174" ht="15.75" hidden="1" customHeight="1">
      <c r="A174" s="1"/>
      <c r="C174" s="14"/>
      <c r="N174" s="1"/>
    </row>
    <row r="175" ht="15.75" hidden="1" customHeight="1">
      <c r="A175" s="1"/>
      <c r="C175" s="14"/>
      <c r="N175" s="1"/>
    </row>
    <row r="176" ht="15.75" hidden="1" customHeight="1">
      <c r="A176" s="1"/>
      <c r="C176" s="14"/>
      <c r="N176" s="1"/>
    </row>
    <row r="177" ht="15.75" hidden="1" customHeight="1">
      <c r="A177" s="1"/>
      <c r="C177" s="14"/>
      <c r="N177" s="1"/>
    </row>
    <row r="178" ht="15.75" hidden="1" customHeight="1">
      <c r="A178" s="1"/>
      <c r="C178" s="14"/>
      <c r="N178" s="1"/>
    </row>
    <row r="179" ht="15.75" hidden="1" customHeight="1">
      <c r="A179" s="1"/>
      <c r="C179" s="14"/>
      <c r="N179" s="1"/>
    </row>
    <row r="180" ht="15.75" hidden="1" customHeight="1">
      <c r="A180" s="1"/>
      <c r="C180" s="14"/>
      <c r="N180" s="1"/>
    </row>
    <row r="181" ht="15.75" hidden="1" customHeight="1">
      <c r="A181" s="1"/>
      <c r="C181" s="14"/>
      <c r="N181" s="1"/>
    </row>
    <row r="182" ht="15.75" hidden="1" customHeight="1">
      <c r="A182" s="1"/>
      <c r="C182" s="14"/>
      <c r="N182" s="1"/>
    </row>
    <row r="183" ht="15.75" hidden="1" customHeight="1">
      <c r="A183" s="1"/>
      <c r="C183" s="14"/>
      <c r="N183" s="1"/>
    </row>
    <row r="184" ht="15.75" hidden="1" customHeight="1">
      <c r="A184" s="1"/>
      <c r="C184" s="14"/>
      <c r="N184" s="1"/>
    </row>
    <row r="185" ht="15.75" hidden="1" customHeight="1">
      <c r="A185" s="1"/>
      <c r="C185" s="14"/>
      <c r="N185" s="1"/>
    </row>
    <row r="186" ht="15.75" hidden="1" customHeight="1">
      <c r="A186" s="1"/>
      <c r="C186" s="14"/>
      <c r="N186" s="1"/>
    </row>
    <row r="187" ht="15.75" hidden="1" customHeight="1">
      <c r="A187" s="1"/>
      <c r="C187" s="14"/>
      <c r="N187" s="1"/>
    </row>
    <row r="188" ht="15.75" hidden="1" customHeight="1">
      <c r="A188" s="1"/>
      <c r="C188" s="14"/>
      <c r="N188" s="1"/>
    </row>
    <row r="189" ht="15.75" hidden="1" customHeight="1">
      <c r="A189" s="1"/>
      <c r="C189" s="14"/>
      <c r="N189" s="1"/>
    </row>
    <row r="190" ht="15.75" hidden="1" customHeight="1">
      <c r="A190" s="1"/>
      <c r="C190" s="14"/>
      <c r="N190" s="1"/>
    </row>
    <row r="191" ht="15.75" hidden="1" customHeight="1">
      <c r="A191" s="1"/>
      <c r="C191" s="14"/>
      <c r="N191" s="1"/>
    </row>
    <row r="192" ht="15.75" hidden="1" customHeight="1">
      <c r="A192" s="1"/>
      <c r="C192" s="14"/>
      <c r="N192" s="1"/>
    </row>
    <row r="193" ht="15.75" hidden="1" customHeight="1">
      <c r="A193" s="1"/>
      <c r="C193" s="14"/>
      <c r="N193" s="1"/>
    </row>
    <row r="194" ht="15.75" hidden="1" customHeight="1">
      <c r="A194" s="1"/>
      <c r="C194" s="14"/>
      <c r="N194" s="1"/>
    </row>
    <row r="195" ht="15.75" hidden="1" customHeight="1">
      <c r="A195" s="1"/>
      <c r="C195" s="14"/>
      <c r="N195" s="1"/>
    </row>
    <row r="196" ht="15.75" hidden="1" customHeight="1">
      <c r="A196" s="1"/>
      <c r="C196" s="14"/>
      <c r="N196" s="1"/>
    </row>
    <row r="197" ht="15.75" hidden="1" customHeight="1">
      <c r="A197" s="1"/>
      <c r="C197" s="14"/>
      <c r="N197" s="1"/>
    </row>
    <row r="198" ht="15.75" hidden="1" customHeight="1">
      <c r="A198" s="1"/>
      <c r="C198" s="14"/>
      <c r="N198" s="1"/>
    </row>
    <row r="199" ht="15.75" hidden="1" customHeight="1">
      <c r="A199" s="1"/>
      <c r="C199" s="14"/>
      <c r="N199" s="1"/>
    </row>
    <row r="200" ht="15.75" hidden="1" customHeight="1">
      <c r="A200" s="1"/>
      <c r="C200" s="14"/>
      <c r="N200" s="1"/>
    </row>
    <row r="201" ht="15.75" hidden="1" customHeight="1">
      <c r="A201" s="1"/>
      <c r="C201" s="14"/>
      <c r="N201" s="1"/>
    </row>
    <row r="202" ht="15.75" hidden="1" customHeight="1">
      <c r="A202" s="1"/>
      <c r="C202" s="14"/>
      <c r="N202" s="1"/>
    </row>
    <row r="203" ht="15.75" hidden="1" customHeight="1">
      <c r="A203" s="1"/>
      <c r="C203" s="14"/>
      <c r="N203" s="1"/>
    </row>
    <row r="204" ht="15.75" hidden="1" customHeight="1">
      <c r="A204" s="1"/>
      <c r="C204" s="14"/>
      <c r="N204" s="1"/>
    </row>
    <row r="205" ht="15.75" hidden="1" customHeight="1">
      <c r="A205" s="1"/>
      <c r="C205" s="14"/>
      <c r="N205" s="1"/>
    </row>
    <row r="206" ht="15.75" hidden="1" customHeight="1">
      <c r="A206" s="1"/>
      <c r="C206" s="14"/>
      <c r="N206" s="1"/>
    </row>
    <row r="207" ht="15.75" hidden="1" customHeight="1">
      <c r="A207" s="1"/>
      <c r="C207" s="14"/>
      <c r="N207" s="1"/>
    </row>
    <row r="208" ht="15.75" hidden="1" customHeight="1">
      <c r="A208" s="1"/>
      <c r="C208" s="14"/>
      <c r="N208" s="1"/>
    </row>
    <row r="209" ht="15.75" hidden="1" customHeight="1">
      <c r="A209" s="1"/>
      <c r="C209" s="14"/>
      <c r="N209" s="1"/>
    </row>
    <row r="210" ht="15.75" hidden="1" customHeight="1">
      <c r="A210" s="1"/>
      <c r="C210" s="14"/>
      <c r="N210" s="1"/>
    </row>
    <row r="211" ht="15.75" hidden="1" customHeight="1">
      <c r="A211" s="1"/>
      <c r="C211" s="14"/>
      <c r="N211" s="1"/>
    </row>
    <row r="212" ht="15.75" hidden="1" customHeight="1">
      <c r="A212" s="1"/>
      <c r="C212" s="14"/>
      <c r="N212" s="1"/>
    </row>
    <row r="213" ht="15.75" hidden="1" customHeight="1">
      <c r="A213" s="1"/>
      <c r="C213" s="14"/>
      <c r="N213" s="1"/>
    </row>
    <row r="214" ht="15.75" hidden="1" customHeight="1">
      <c r="A214" s="1"/>
      <c r="C214" s="14"/>
      <c r="N214" s="1"/>
    </row>
    <row r="215" ht="15.75" hidden="1" customHeight="1">
      <c r="A215" s="1"/>
      <c r="C215" s="14"/>
      <c r="N215" s="1"/>
    </row>
    <row r="216" ht="15.75" hidden="1" customHeight="1">
      <c r="A216" s="1"/>
      <c r="C216" s="14"/>
      <c r="N216" s="1"/>
    </row>
    <row r="217" ht="15.75" hidden="1" customHeight="1">
      <c r="A217" s="1"/>
      <c r="C217" s="14"/>
      <c r="N217" s="1"/>
    </row>
    <row r="218" ht="15.75" hidden="1" customHeight="1">
      <c r="A218" s="1"/>
      <c r="C218" s="14"/>
      <c r="N218" s="1"/>
    </row>
    <row r="219" ht="15.75" hidden="1" customHeight="1">
      <c r="A219" s="1"/>
      <c r="C219" s="14"/>
      <c r="N219" s="1"/>
    </row>
    <row r="220" ht="15.75" hidden="1" customHeight="1">
      <c r="A220" s="1"/>
      <c r="C220" s="14"/>
      <c r="N220" s="1"/>
    </row>
    <row r="221" ht="15.75" hidden="1" customHeight="1">
      <c r="A221" s="1"/>
      <c r="C221" s="14"/>
      <c r="N221" s="1"/>
    </row>
    <row r="222" ht="15.75" hidden="1" customHeight="1">
      <c r="A222" s="1"/>
      <c r="C222" s="14"/>
      <c r="N222" s="1"/>
    </row>
    <row r="223" ht="15.75" hidden="1" customHeight="1">
      <c r="A223" s="1"/>
      <c r="C223" s="14"/>
      <c r="N223" s="1"/>
    </row>
    <row r="224" ht="15.75" hidden="1" customHeight="1">
      <c r="A224" s="1"/>
      <c r="C224" s="14"/>
      <c r="N224" s="1"/>
    </row>
    <row r="225" ht="15.75" hidden="1" customHeight="1">
      <c r="A225" s="1"/>
      <c r="C225" s="14"/>
      <c r="N225" s="1"/>
    </row>
    <row r="226" ht="15.75" hidden="1" customHeight="1">
      <c r="A226" s="1"/>
      <c r="C226" s="14"/>
      <c r="N226" s="1"/>
    </row>
    <row r="227" ht="15.75" hidden="1" customHeight="1">
      <c r="A227" s="1"/>
      <c r="C227" s="14"/>
      <c r="N227" s="1"/>
    </row>
    <row r="228" ht="15.75" hidden="1" customHeight="1">
      <c r="A228" s="1"/>
      <c r="C228" s="14"/>
      <c r="N228" s="1"/>
    </row>
    <row r="229" ht="15.75" hidden="1" customHeight="1">
      <c r="A229" s="1"/>
      <c r="C229" s="14"/>
      <c r="N229" s="1"/>
    </row>
    <row r="230" ht="15.75" hidden="1" customHeight="1">
      <c r="A230" s="1"/>
      <c r="C230" s="14"/>
      <c r="N230" s="1"/>
    </row>
    <row r="231" ht="15.75" hidden="1" customHeight="1">
      <c r="A231" s="1"/>
      <c r="C231" s="14"/>
      <c r="N231" s="1"/>
    </row>
    <row r="232" ht="15.75" hidden="1" customHeight="1">
      <c r="A232" s="1"/>
      <c r="C232" s="14"/>
      <c r="N232" s="1"/>
    </row>
    <row r="233" ht="15.75" hidden="1" customHeight="1">
      <c r="A233" s="1"/>
      <c r="C233" s="14"/>
      <c r="N233" s="1"/>
    </row>
    <row r="234" ht="15.75" hidden="1" customHeight="1">
      <c r="A234" s="1"/>
      <c r="C234" s="14"/>
      <c r="N234" s="1"/>
    </row>
    <row r="235" ht="15.75" hidden="1" customHeight="1">
      <c r="A235" s="1"/>
      <c r="C235" s="14"/>
      <c r="N235" s="1"/>
    </row>
    <row r="236" ht="15.75" hidden="1" customHeight="1">
      <c r="A236" s="1"/>
      <c r="C236" s="14"/>
      <c r="N236" s="1"/>
    </row>
    <row r="237" ht="15.75" hidden="1" customHeight="1">
      <c r="A237" s="1"/>
      <c r="C237" s="14"/>
      <c r="N237" s="1"/>
    </row>
    <row r="238" ht="15.75" hidden="1" customHeight="1">
      <c r="A238" s="1"/>
      <c r="C238" s="14"/>
      <c r="N238" s="1"/>
    </row>
    <row r="239" ht="15.75" hidden="1" customHeight="1">
      <c r="A239" s="1"/>
      <c r="C239" s="14"/>
      <c r="N239" s="1"/>
    </row>
    <row r="240" ht="15.75" hidden="1" customHeight="1">
      <c r="A240" s="1"/>
      <c r="C240" s="14"/>
      <c r="N240" s="1"/>
    </row>
    <row r="241" ht="15.75" hidden="1" customHeight="1">
      <c r="A241" s="1"/>
      <c r="C241" s="14"/>
      <c r="N241" s="1"/>
    </row>
    <row r="242" ht="15.75" hidden="1" customHeight="1">
      <c r="A242" s="1"/>
      <c r="C242" s="14"/>
      <c r="N242" s="1"/>
    </row>
    <row r="243" ht="15.75" hidden="1" customHeight="1">
      <c r="A243" s="1"/>
      <c r="C243" s="14"/>
      <c r="N243" s="1"/>
    </row>
    <row r="244" ht="15.75" hidden="1" customHeight="1">
      <c r="A244" s="1"/>
      <c r="C244" s="14"/>
      <c r="N244" s="1"/>
    </row>
    <row r="245" ht="15.75" hidden="1" customHeight="1">
      <c r="A245" s="1"/>
      <c r="C245" s="14"/>
      <c r="N245" s="1"/>
    </row>
    <row r="246" ht="15.75" hidden="1" customHeight="1">
      <c r="A246" s="1"/>
      <c r="C246" s="14"/>
      <c r="N246" s="1"/>
    </row>
    <row r="247" ht="15.75" hidden="1" customHeight="1">
      <c r="A247" s="1"/>
      <c r="C247" s="14"/>
      <c r="N247" s="1"/>
    </row>
    <row r="248" ht="15.75" hidden="1" customHeight="1">
      <c r="A248" s="1"/>
      <c r="C248" s="14"/>
      <c r="N248" s="1"/>
    </row>
    <row r="249" ht="15.75" hidden="1" customHeight="1">
      <c r="A249" s="1"/>
      <c r="C249" s="14"/>
      <c r="N249" s="1"/>
    </row>
    <row r="250" ht="15.75" hidden="1" customHeight="1">
      <c r="A250" s="1"/>
      <c r="C250" s="14"/>
      <c r="N250" s="1"/>
    </row>
    <row r="251" ht="15.75" hidden="1" customHeight="1">
      <c r="A251" s="1"/>
      <c r="C251" s="14"/>
      <c r="N251" s="1"/>
    </row>
    <row r="252" ht="15.75" hidden="1" customHeight="1">
      <c r="A252" s="1"/>
      <c r="C252" s="14"/>
      <c r="N252" s="1"/>
    </row>
    <row r="253" ht="15.75" hidden="1" customHeight="1">
      <c r="A253" s="1"/>
      <c r="C253" s="14"/>
      <c r="N253" s="1"/>
    </row>
    <row r="254" ht="15.75" hidden="1" customHeight="1">
      <c r="A254" s="1"/>
      <c r="C254" s="14"/>
      <c r="N254" s="1"/>
    </row>
    <row r="255" ht="15.75" hidden="1" customHeight="1">
      <c r="A255" s="1"/>
      <c r="C255" s="14"/>
      <c r="N255" s="1"/>
    </row>
    <row r="256" ht="15.75" hidden="1" customHeight="1">
      <c r="A256" s="1"/>
      <c r="C256" s="14"/>
      <c r="N256" s="1"/>
    </row>
    <row r="257" ht="15.75" hidden="1" customHeight="1">
      <c r="A257" s="1"/>
      <c r="C257" s="14"/>
      <c r="N257" s="1"/>
    </row>
    <row r="258" ht="15.75" hidden="1" customHeight="1">
      <c r="A258" s="1"/>
      <c r="C258" s="14"/>
      <c r="N258" s="1"/>
    </row>
    <row r="259" ht="15.75" hidden="1" customHeight="1">
      <c r="A259" s="1"/>
      <c r="C259" s="14"/>
      <c r="N259" s="1"/>
    </row>
    <row r="260" ht="15.75" hidden="1" customHeight="1">
      <c r="A260" s="1"/>
      <c r="C260" s="14"/>
      <c r="N260" s="1"/>
    </row>
    <row r="261" ht="15.75" hidden="1" customHeight="1">
      <c r="A261" s="1"/>
      <c r="C261" s="14"/>
      <c r="N261" s="1"/>
    </row>
    <row r="262" ht="15.75" hidden="1" customHeight="1">
      <c r="A262" s="1"/>
      <c r="C262" s="14"/>
      <c r="N262" s="1"/>
    </row>
    <row r="263" ht="15.75" hidden="1" customHeight="1">
      <c r="A263" s="1"/>
      <c r="C263" s="14"/>
      <c r="N263" s="1"/>
    </row>
    <row r="264" ht="15.75" hidden="1" customHeight="1">
      <c r="A264" s="1"/>
      <c r="C264" s="14"/>
      <c r="N264" s="1"/>
    </row>
    <row r="265" ht="15.75" hidden="1" customHeight="1">
      <c r="A265" s="1"/>
      <c r="C265" s="14"/>
      <c r="N265" s="1"/>
    </row>
    <row r="266" ht="15.75" hidden="1" customHeight="1">
      <c r="A266" s="1"/>
      <c r="C266" s="14"/>
      <c r="N266" s="1"/>
    </row>
    <row r="267" ht="15.75" hidden="1" customHeight="1">
      <c r="A267" s="1"/>
      <c r="C267" s="14"/>
      <c r="N267" s="1"/>
    </row>
    <row r="268" ht="15.75" hidden="1" customHeight="1">
      <c r="A268" s="1"/>
      <c r="C268" s="14"/>
      <c r="N268" s="1"/>
    </row>
    <row r="269" ht="15.75" hidden="1" customHeight="1">
      <c r="A269" s="1"/>
      <c r="C269" s="14"/>
      <c r="N269" s="1"/>
    </row>
    <row r="270" ht="15.75" hidden="1" customHeight="1">
      <c r="A270" s="1"/>
      <c r="C270" s="14"/>
      <c r="N270" s="1"/>
    </row>
    <row r="271" ht="15.75" hidden="1" customHeight="1">
      <c r="A271" s="1"/>
      <c r="C271" s="14"/>
      <c r="N271" s="1"/>
    </row>
    <row r="272" ht="15.75" hidden="1" customHeight="1">
      <c r="A272" s="1"/>
      <c r="C272" s="14"/>
      <c r="N272" s="1"/>
    </row>
    <row r="273" ht="15.75" hidden="1" customHeight="1">
      <c r="A273" s="1"/>
      <c r="C273" s="14"/>
      <c r="N273" s="1"/>
    </row>
    <row r="274" ht="15.75" hidden="1" customHeight="1">
      <c r="A274" s="1"/>
      <c r="C274" s="14"/>
      <c r="N274" s="1"/>
    </row>
    <row r="275" ht="15.75" hidden="1" customHeight="1">
      <c r="A275" s="1"/>
      <c r="C275" s="14"/>
      <c r="N275" s="1"/>
    </row>
    <row r="276" ht="15.75" hidden="1" customHeight="1">
      <c r="A276" s="1"/>
      <c r="C276" s="14"/>
      <c r="N276" s="1"/>
    </row>
    <row r="277" ht="15.75" hidden="1" customHeight="1">
      <c r="A277" s="1"/>
      <c r="C277" s="14"/>
      <c r="N277" s="1"/>
    </row>
    <row r="278" ht="15.75" hidden="1" customHeight="1">
      <c r="A278" s="1"/>
      <c r="C278" s="14"/>
      <c r="N278" s="1"/>
    </row>
    <row r="279" ht="15.75" hidden="1" customHeight="1">
      <c r="A279" s="1"/>
      <c r="C279" s="14"/>
      <c r="N279" s="1"/>
    </row>
    <row r="280" ht="15.75" hidden="1" customHeight="1">
      <c r="A280" s="1"/>
      <c r="C280" s="14"/>
      <c r="N280" s="1"/>
    </row>
    <row r="281" ht="15.75" hidden="1" customHeight="1">
      <c r="A281" s="1"/>
      <c r="C281" s="14"/>
      <c r="N281" s="1"/>
    </row>
    <row r="282" ht="15.75" hidden="1" customHeight="1">
      <c r="A282" s="1"/>
      <c r="C282" s="14"/>
      <c r="N282" s="1"/>
    </row>
    <row r="283" ht="15.75" hidden="1" customHeight="1">
      <c r="A283" s="1"/>
      <c r="C283" s="14"/>
      <c r="N283" s="1"/>
    </row>
    <row r="284" ht="15.75" hidden="1" customHeight="1">
      <c r="A284" s="1"/>
      <c r="C284" s="14"/>
      <c r="N284" s="1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9">
    <mergeCell ref="D50:H50"/>
    <mergeCell ref="I50:L50"/>
    <mergeCell ref="D51:H51"/>
    <mergeCell ref="I51:L51"/>
    <mergeCell ref="D52:H52"/>
    <mergeCell ref="I52:L52"/>
    <mergeCell ref="I53:L53"/>
    <mergeCell ref="D53:H53"/>
    <mergeCell ref="D54:H54"/>
    <mergeCell ref="I54:L54"/>
    <mergeCell ref="B57:M59"/>
    <mergeCell ref="D61:H61"/>
    <mergeCell ref="I61:L61"/>
    <mergeCell ref="I62:L62"/>
    <mergeCell ref="B68:M70"/>
    <mergeCell ref="D72:H72"/>
    <mergeCell ref="I72:L72"/>
    <mergeCell ref="D73:H73"/>
    <mergeCell ref="I73:L73"/>
    <mergeCell ref="D74:H74"/>
    <mergeCell ref="I74:L74"/>
    <mergeCell ref="D84:H84"/>
    <mergeCell ref="I84:L84"/>
    <mergeCell ref="D75:H75"/>
    <mergeCell ref="I75:L75"/>
    <mergeCell ref="D76:H76"/>
    <mergeCell ref="I76:L76"/>
    <mergeCell ref="B79:M81"/>
    <mergeCell ref="D83:H83"/>
    <mergeCell ref="I83:L83"/>
    <mergeCell ref="B2:M4"/>
    <mergeCell ref="B5:M7"/>
    <mergeCell ref="B10:M12"/>
    <mergeCell ref="D14:H14"/>
    <mergeCell ref="I14:L14"/>
    <mergeCell ref="D15:H15"/>
    <mergeCell ref="I15:L15"/>
    <mergeCell ref="D16:H16"/>
    <mergeCell ref="I16:L16"/>
    <mergeCell ref="D17:H17"/>
    <mergeCell ref="I17:L17"/>
    <mergeCell ref="D18:H18"/>
    <mergeCell ref="I18:L18"/>
    <mergeCell ref="I19:L19"/>
    <mergeCell ref="D19:H19"/>
    <mergeCell ref="D20:H20"/>
    <mergeCell ref="I20:L20"/>
    <mergeCell ref="D21:H21"/>
    <mergeCell ref="I21:L21"/>
    <mergeCell ref="B24:M26"/>
    <mergeCell ref="I28:L28"/>
    <mergeCell ref="D28:H28"/>
    <mergeCell ref="D29:H29"/>
    <mergeCell ref="I29:L29"/>
    <mergeCell ref="D30:H30"/>
    <mergeCell ref="I30:L30"/>
    <mergeCell ref="D31:H31"/>
    <mergeCell ref="I31:L31"/>
    <mergeCell ref="D32:H32"/>
    <mergeCell ref="I32:L32"/>
    <mergeCell ref="B35:M37"/>
    <mergeCell ref="D39:H39"/>
    <mergeCell ref="I39:L39"/>
    <mergeCell ref="D40:H40"/>
    <mergeCell ref="I40:L40"/>
    <mergeCell ref="D41:H41"/>
    <mergeCell ref="I41:L41"/>
    <mergeCell ref="D42:H42"/>
    <mergeCell ref="I42:L42"/>
    <mergeCell ref="D43:H43"/>
    <mergeCell ref="I43:L43"/>
    <mergeCell ref="B46:M48"/>
    <mergeCell ref="D62:H62"/>
    <mergeCell ref="D63:H63"/>
    <mergeCell ref="I63:L63"/>
    <mergeCell ref="D64:H64"/>
    <mergeCell ref="I64:L64"/>
    <mergeCell ref="D65:H65"/>
    <mergeCell ref="I65:L65"/>
  </mergeCells>
  <conditionalFormatting sqref="M1 M8:M23 M27:M34 M38:M45 M49:M54 M56 M60:M67 M71:M78 M82:M998">
    <cfRule type="containsText" dxfId="0" priority="1" operator="containsText" text="Público Criado">
      <formula>NOT(ISERROR(SEARCH(("Público Criado"),(M1))))</formula>
    </cfRule>
  </conditionalFormatting>
  <conditionalFormatting sqref="M1 M8:M23 M27:M34 M38:M45 M49:M54 M56 M60:M67 M71:M78 M82:M998">
    <cfRule type="containsText" dxfId="1" priority="2" operator="containsText" text="Público Pendente">
      <formula>NOT(ISERROR(SEARCH(("Público Pendente"),(M1))))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8" width="9.38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13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1.0</v>
      </c>
      <c r="D15" s="23" t="s">
        <v>31</v>
      </c>
      <c r="E15" s="18"/>
      <c r="F15" s="18"/>
      <c r="G15" s="18"/>
      <c r="H15" s="19"/>
      <c r="I15" s="24" t="s">
        <v>35</v>
      </c>
      <c r="J15" s="18"/>
      <c r="K15" s="18"/>
      <c r="L15" s="19"/>
      <c r="M15" s="22" t="str">
        <f>IF(B15=TRUE,"Público Criado","Público Pendente")</f>
        <v>Público Pendente</v>
      </c>
      <c r="N15" s="1"/>
    </row>
    <row r="16" ht="15.75" customHeight="1">
      <c r="A16" s="1"/>
      <c r="C16" s="14"/>
      <c r="N16" s="1"/>
    </row>
    <row r="17" ht="15.75" customHeight="1">
      <c r="A17" s="1"/>
      <c r="C17" s="14"/>
      <c r="N17" s="1"/>
    </row>
    <row r="18" ht="15.75" customHeight="1">
      <c r="A18" s="25"/>
      <c r="B18" s="26" t="s">
        <v>46</v>
      </c>
      <c r="N18" s="25"/>
    </row>
    <row r="19" ht="15.75" customHeight="1">
      <c r="A19" s="25"/>
      <c r="N19" s="25"/>
    </row>
    <row r="20" ht="15.75" customHeight="1">
      <c r="A20" s="25"/>
      <c r="N20" s="25"/>
    </row>
    <row r="21" ht="15.75" customHeight="1">
      <c r="A21" s="25"/>
      <c r="C21" s="14"/>
      <c r="N21" s="25"/>
    </row>
    <row r="22" ht="15.75" customHeight="1">
      <c r="A22" s="25"/>
      <c r="B22" s="27"/>
      <c r="C22" s="27" t="s">
        <v>4</v>
      </c>
      <c r="D22" s="28" t="s">
        <v>5</v>
      </c>
      <c r="E22" s="18"/>
      <c r="F22" s="18"/>
      <c r="G22" s="18"/>
      <c r="H22" s="19"/>
      <c r="I22" s="29" t="s">
        <v>6</v>
      </c>
      <c r="J22" s="18"/>
      <c r="K22" s="18"/>
      <c r="L22" s="19"/>
      <c r="M22" s="27" t="s">
        <v>7</v>
      </c>
      <c r="N22" s="25"/>
    </row>
    <row r="23" ht="15.75" customHeight="1">
      <c r="A23" s="25"/>
      <c r="B23" s="21" t="b">
        <v>0</v>
      </c>
      <c r="C23" s="22">
        <v>1.0</v>
      </c>
      <c r="D23" s="23" t="s">
        <v>68</v>
      </c>
      <c r="E23" s="18"/>
      <c r="F23" s="18"/>
      <c r="G23" s="18"/>
      <c r="H23" s="19"/>
      <c r="I23" s="24" t="s">
        <v>71</v>
      </c>
      <c r="J23" s="18"/>
      <c r="K23" s="18"/>
      <c r="L23" s="19"/>
      <c r="M23" s="22" t="str">
        <f t="shared" ref="M23:M24" si="1">IF(B23=TRUE,"Público Criado","Público Pendente")</f>
        <v>Público Pendente</v>
      </c>
      <c r="N23" s="25"/>
    </row>
    <row r="24" ht="15.75" customHeight="1">
      <c r="A24" s="35"/>
      <c r="B24" s="36" t="b">
        <v>0</v>
      </c>
      <c r="C24" s="37">
        <v>2.0</v>
      </c>
      <c r="D24" s="38" t="s">
        <v>79</v>
      </c>
      <c r="E24" s="18"/>
      <c r="F24" s="18"/>
      <c r="G24" s="18"/>
      <c r="H24" s="19"/>
      <c r="I24" s="39" t="s">
        <v>84</v>
      </c>
      <c r="J24" s="18"/>
      <c r="K24" s="18"/>
      <c r="L24" s="19"/>
      <c r="M24" s="40" t="str">
        <f t="shared" si="1"/>
        <v>Público Pendente</v>
      </c>
      <c r="N24" s="4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 ht="15.75" customHeight="1">
      <c r="A25" s="25"/>
      <c r="C25" s="14"/>
      <c r="N25" s="25"/>
    </row>
    <row r="26" ht="15.75" customHeight="1">
      <c r="A26" s="25"/>
      <c r="C26" s="14"/>
      <c r="N26" s="25"/>
    </row>
    <row r="27" ht="15.75" customHeight="1">
      <c r="A27" s="30"/>
      <c r="B27" s="31" t="s">
        <v>100</v>
      </c>
      <c r="N27" s="30"/>
    </row>
    <row r="28" ht="15.75" customHeight="1">
      <c r="A28" s="30"/>
      <c r="N28" s="30"/>
    </row>
    <row r="29" ht="15.75" customHeight="1">
      <c r="A29" s="30"/>
      <c r="N29" s="30"/>
    </row>
    <row r="30" ht="15.75" customHeight="1">
      <c r="A30" s="30"/>
      <c r="C30" s="14"/>
      <c r="N30" s="30"/>
    </row>
    <row r="31" ht="15.75" customHeight="1">
      <c r="A31" s="30"/>
      <c r="B31" s="32"/>
      <c r="C31" s="32" t="s">
        <v>4</v>
      </c>
      <c r="D31" s="33" t="s">
        <v>5</v>
      </c>
      <c r="E31" s="18"/>
      <c r="F31" s="18"/>
      <c r="G31" s="18"/>
      <c r="H31" s="19"/>
      <c r="I31" s="34" t="s">
        <v>6</v>
      </c>
      <c r="J31" s="18"/>
      <c r="K31" s="18"/>
      <c r="L31" s="19"/>
      <c r="M31" s="32" t="s">
        <v>7</v>
      </c>
      <c r="N31" s="30"/>
    </row>
    <row r="32" ht="15.75" customHeight="1">
      <c r="A32" s="30"/>
      <c r="B32" s="21" t="b">
        <v>0</v>
      </c>
      <c r="C32" s="22">
        <v>1.0</v>
      </c>
      <c r="D32" s="23" t="s">
        <v>116</v>
      </c>
      <c r="E32" s="18"/>
      <c r="F32" s="18"/>
      <c r="G32" s="18"/>
      <c r="H32" s="19"/>
      <c r="I32" s="24" t="s">
        <v>118</v>
      </c>
      <c r="J32" s="18"/>
      <c r="K32" s="18"/>
      <c r="L32" s="19"/>
      <c r="M32" s="22" t="str">
        <f>IF(B32=TRUE,"Público Criado","Público Pendente")</f>
        <v>Público Pendente</v>
      </c>
      <c r="N32" s="30"/>
    </row>
    <row r="33" ht="15.75" customHeight="1">
      <c r="A33" s="30"/>
      <c r="C33" s="14"/>
      <c r="N33" s="30"/>
    </row>
    <row r="34" ht="15.75" customHeight="1">
      <c r="A34" s="30"/>
      <c r="C34" s="14"/>
      <c r="N34" s="30"/>
    </row>
    <row r="35" ht="15.75" customHeight="1">
      <c r="A35" s="43"/>
      <c r="B35" s="44" t="s">
        <v>125</v>
      </c>
      <c r="N35" s="43"/>
    </row>
    <row r="36" ht="15.75" customHeight="1">
      <c r="A36" s="43"/>
      <c r="N36" s="43"/>
    </row>
    <row r="37" ht="15.75" customHeight="1">
      <c r="A37" s="43"/>
      <c r="N37" s="43"/>
    </row>
    <row r="38" ht="15.75" customHeight="1">
      <c r="A38" s="43"/>
      <c r="C38" s="14"/>
      <c r="N38" s="43"/>
    </row>
    <row r="39" ht="15.75" customHeight="1">
      <c r="A39" s="43"/>
      <c r="B39" s="45"/>
      <c r="C39" s="45" t="s">
        <v>4</v>
      </c>
      <c r="D39" s="46" t="s">
        <v>5</v>
      </c>
      <c r="E39" s="18"/>
      <c r="F39" s="18"/>
      <c r="G39" s="18"/>
      <c r="H39" s="19"/>
      <c r="I39" s="47" t="s">
        <v>6</v>
      </c>
      <c r="J39" s="18"/>
      <c r="K39" s="18"/>
      <c r="L39" s="19"/>
      <c r="M39" s="45" t="s">
        <v>7</v>
      </c>
      <c r="N39" s="43"/>
    </row>
    <row r="40" ht="15.75" customHeight="1">
      <c r="A40" s="43"/>
      <c r="B40" s="21" t="b">
        <v>0</v>
      </c>
      <c r="C40" s="22">
        <v>1.0</v>
      </c>
      <c r="D40" s="23" t="s">
        <v>149</v>
      </c>
      <c r="E40" s="18"/>
      <c r="F40" s="18"/>
      <c r="G40" s="18"/>
      <c r="H40" s="19"/>
      <c r="I40" s="24" t="s">
        <v>151</v>
      </c>
      <c r="J40" s="18"/>
      <c r="K40" s="18"/>
      <c r="L40" s="19"/>
      <c r="M40" s="22" t="str">
        <f>IF(B40=TRUE,"Público Criado","Público Pendente")</f>
        <v>Público Pendente</v>
      </c>
      <c r="N40" s="43"/>
    </row>
    <row r="41" ht="15.75" customHeight="1">
      <c r="A41" s="43"/>
      <c r="N41" s="43"/>
    </row>
    <row r="42" ht="15.75" customHeight="1">
      <c r="A42" s="43"/>
      <c r="C42" s="14"/>
      <c r="N42" s="43"/>
    </row>
    <row r="43" ht="15.75" customHeight="1">
      <c r="A43" s="48"/>
      <c r="B43" s="49" t="s">
        <v>157</v>
      </c>
      <c r="N43" s="48"/>
    </row>
    <row r="44" ht="15.75" customHeight="1">
      <c r="A44" s="48"/>
      <c r="N44" s="48"/>
    </row>
    <row r="45" ht="15.75" customHeight="1">
      <c r="A45" s="48"/>
      <c r="N45" s="48"/>
    </row>
    <row r="46" ht="15.75" customHeight="1">
      <c r="A46" s="48"/>
      <c r="C46" s="14"/>
      <c r="N46" s="48"/>
    </row>
    <row r="47" ht="15.75" customHeight="1">
      <c r="A47" s="48"/>
      <c r="B47" s="50"/>
      <c r="C47" s="50" t="s">
        <v>4</v>
      </c>
      <c r="D47" s="51" t="s">
        <v>5</v>
      </c>
      <c r="E47" s="18"/>
      <c r="F47" s="18"/>
      <c r="G47" s="18"/>
      <c r="H47" s="19"/>
      <c r="I47" s="52" t="s">
        <v>6</v>
      </c>
      <c r="J47" s="18"/>
      <c r="K47" s="18"/>
      <c r="L47" s="19"/>
      <c r="M47" s="50" t="s">
        <v>7</v>
      </c>
      <c r="N47" s="48"/>
    </row>
    <row r="48" ht="15.75" customHeight="1">
      <c r="A48" s="48"/>
      <c r="B48" s="21" t="b">
        <v>0</v>
      </c>
      <c r="C48" s="22">
        <v>1.0</v>
      </c>
      <c r="D48" s="23" t="s">
        <v>175</v>
      </c>
      <c r="E48" s="18"/>
      <c r="F48" s="18"/>
      <c r="G48" s="18"/>
      <c r="H48" s="19"/>
      <c r="I48" s="24" t="s">
        <v>180</v>
      </c>
      <c r="J48" s="18"/>
      <c r="K48" s="18"/>
      <c r="L48" s="19"/>
      <c r="M48" s="22" t="str">
        <f>IF(B48=TRUE,"Público Criado","Público Pendente")</f>
        <v>Público Pendente</v>
      </c>
      <c r="N48" s="48"/>
    </row>
    <row r="49" ht="15.75" customHeight="1">
      <c r="A49" s="48"/>
      <c r="C49" s="14"/>
      <c r="N49" s="48"/>
    </row>
    <row r="50" ht="15.75" customHeight="1">
      <c r="A50" s="48"/>
      <c r="C50" s="14"/>
      <c r="N50" s="48"/>
    </row>
    <row r="51" ht="15.75" customHeight="1">
      <c r="A51" s="53"/>
      <c r="B51" s="54" t="s">
        <v>187</v>
      </c>
      <c r="N51" s="53"/>
    </row>
    <row r="52" ht="15.75" customHeight="1">
      <c r="A52" s="53"/>
      <c r="N52" s="53"/>
    </row>
    <row r="53" ht="15.75" customHeight="1">
      <c r="A53" s="53"/>
      <c r="N53" s="53"/>
    </row>
    <row r="54" ht="15.75" customHeight="1">
      <c r="A54" s="53"/>
      <c r="C54" s="14"/>
      <c r="N54" s="53"/>
    </row>
    <row r="55" ht="15.75" customHeight="1">
      <c r="A55" s="53"/>
      <c r="B55" s="55"/>
      <c r="C55" s="55" t="s">
        <v>4</v>
      </c>
      <c r="D55" s="56" t="s">
        <v>5</v>
      </c>
      <c r="E55" s="18"/>
      <c r="F55" s="18"/>
      <c r="G55" s="18"/>
      <c r="H55" s="19"/>
      <c r="I55" s="57" t="s">
        <v>6</v>
      </c>
      <c r="J55" s="18"/>
      <c r="K55" s="18"/>
      <c r="L55" s="19"/>
      <c r="M55" s="55" t="s">
        <v>7</v>
      </c>
      <c r="N55" s="53"/>
    </row>
    <row r="56" ht="15.75" customHeight="1">
      <c r="A56" s="53"/>
      <c r="B56" s="21" t="b">
        <v>0</v>
      </c>
      <c r="C56" s="22">
        <v>1.0</v>
      </c>
      <c r="D56" s="23" t="s">
        <v>193</v>
      </c>
      <c r="E56" s="18"/>
      <c r="F56" s="18"/>
      <c r="G56" s="18"/>
      <c r="H56" s="19"/>
      <c r="I56" s="24" t="s">
        <v>194</v>
      </c>
      <c r="J56" s="18"/>
      <c r="K56" s="18"/>
      <c r="L56" s="19"/>
      <c r="M56" s="22" t="str">
        <f>IF(B56=TRUE,"Público Criado","Público Pendente")</f>
        <v>Público Pendente</v>
      </c>
      <c r="N56" s="53"/>
    </row>
    <row r="57" ht="15.75" customHeight="1">
      <c r="A57" s="53"/>
      <c r="C57" s="14"/>
      <c r="N57" s="53"/>
    </row>
    <row r="58" ht="15.75" customHeight="1">
      <c r="A58" s="53"/>
      <c r="C58" s="14"/>
      <c r="N58" s="53"/>
    </row>
    <row r="59" ht="15.75" customHeight="1">
      <c r="A59" s="1"/>
      <c r="B59" s="15" t="s">
        <v>196</v>
      </c>
      <c r="N59" s="1"/>
    </row>
    <row r="60" ht="15.75" customHeight="1">
      <c r="A60" s="1"/>
      <c r="N60" s="1"/>
    </row>
    <row r="61" ht="15.75" customHeight="1">
      <c r="A61" s="1"/>
      <c r="N61" s="1"/>
    </row>
    <row r="62" ht="15.75" customHeight="1">
      <c r="A62" s="1"/>
      <c r="C62" s="14"/>
      <c r="N62" s="1"/>
    </row>
    <row r="63" ht="15.75" customHeight="1">
      <c r="A63" s="1"/>
      <c r="B63" s="16"/>
      <c r="C63" s="16" t="s">
        <v>4</v>
      </c>
      <c r="D63" s="17" t="s">
        <v>5</v>
      </c>
      <c r="E63" s="18"/>
      <c r="F63" s="18"/>
      <c r="G63" s="18"/>
      <c r="H63" s="19"/>
      <c r="I63" s="20" t="s">
        <v>6</v>
      </c>
      <c r="J63" s="18"/>
      <c r="K63" s="18"/>
      <c r="L63" s="19"/>
      <c r="M63" s="16" t="s">
        <v>7</v>
      </c>
      <c r="N63" s="1"/>
    </row>
    <row r="64" ht="15.75" customHeight="1">
      <c r="A64" s="1"/>
      <c r="B64" s="21" t="b">
        <v>0</v>
      </c>
      <c r="C64" s="22">
        <v>1.0</v>
      </c>
      <c r="D64" s="23" t="s">
        <v>199</v>
      </c>
      <c r="E64" s="18"/>
      <c r="F64" s="18"/>
      <c r="G64" s="18"/>
      <c r="H64" s="19"/>
      <c r="I64" s="24" t="s">
        <v>201</v>
      </c>
      <c r="J64" s="18"/>
      <c r="K64" s="18"/>
      <c r="L64" s="19"/>
      <c r="M64" s="22" t="str">
        <f>IF(B64=TRUE,"Público Criado","Público Pendente")</f>
        <v>Público Pendente</v>
      </c>
      <c r="N64" s="1"/>
    </row>
    <row r="65" ht="15.75" customHeight="1">
      <c r="A65" s="1"/>
      <c r="C65" s="14"/>
      <c r="N65" s="1"/>
    </row>
    <row r="66" ht="15.75" customHeight="1">
      <c r="A66" s="1"/>
      <c r="C66" s="14"/>
      <c r="N66" s="1"/>
    </row>
    <row r="67" ht="15.75" customHeight="1">
      <c r="A67" s="1"/>
      <c r="C67" s="14"/>
      <c r="N67" s="1"/>
    </row>
    <row r="68" ht="15.75" customHeight="1">
      <c r="A68" s="1"/>
      <c r="C68" s="14"/>
      <c r="N68" s="1"/>
    </row>
    <row r="69" ht="15.75" customHeight="1">
      <c r="A69" s="1"/>
      <c r="C69" s="14"/>
      <c r="N69" s="1"/>
    </row>
    <row r="70" ht="15.75" customHeight="1">
      <c r="A70" s="1"/>
      <c r="C70" s="14"/>
      <c r="N70" s="1"/>
    </row>
    <row r="71" ht="15.75" customHeight="1">
      <c r="A71" s="1"/>
      <c r="C71" s="14"/>
      <c r="N71" s="1"/>
    </row>
    <row r="72" ht="15.75" customHeight="1">
      <c r="A72" s="1"/>
      <c r="C72" s="14"/>
      <c r="N72" s="1"/>
    </row>
    <row r="73" ht="15.75" customHeight="1">
      <c r="A73" s="1"/>
      <c r="C73" s="14"/>
      <c r="N73" s="1"/>
    </row>
    <row r="74" ht="15.75" customHeight="1">
      <c r="A74" s="1"/>
      <c r="C74" s="14"/>
      <c r="N74" s="1"/>
    </row>
    <row r="75" ht="15.75" customHeight="1">
      <c r="A75" s="1"/>
      <c r="C75" s="14"/>
      <c r="N75" s="1"/>
    </row>
    <row r="76" ht="15.75" customHeight="1">
      <c r="A76" s="1"/>
      <c r="C76" s="14"/>
      <c r="N76" s="1"/>
    </row>
    <row r="77" ht="15.75" customHeight="1">
      <c r="A77" s="1"/>
      <c r="C77" s="14"/>
      <c r="N77" s="1"/>
    </row>
    <row r="78" ht="15.75" customHeight="1">
      <c r="A78" s="1"/>
      <c r="C78" s="14"/>
      <c r="N78" s="1"/>
    </row>
    <row r="79" ht="15.75" customHeight="1">
      <c r="A79" s="1"/>
      <c r="C79" s="14"/>
      <c r="N79" s="1"/>
    </row>
    <row r="80" ht="15.75" customHeight="1">
      <c r="A80" s="1"/>
      <c r="C80" s="14"/>
      <c r="N80" s="1"/>
    </row>
    <row r="81" ht="15.75" customHeight="1">
      <c r="A81" s="1"/>
      <c r="C81" s="14"/>
      <c r="N81" s="1"/>
    </row>
    <row r="82" ht="15.75" customHeight="1">
      <c r="A82" s="1"/>
      <c r="C82" s="14"/>
      <c r="N82" s="1"/>
    </row>
    <row r="83" ht="15.75" customHeight="1">
      <c r="A83" s="1"/>
      <c r="C83" s="14"/>
      <c r="N83" s="1"/>
    </row>
    <row r="84" ht="15.75" customHeight="1">
      <c r="A84" s="1"/>
      <c r="C84" s="14"/>
      <c r="N84" s="1"/>
    </row>
    <row r="85" ht="15.75" customHeight="1">
      <c r="A85" s="1"/>
      <c r="C85" s="14"/>
      <c r="N85" s="1"/>
    </row>
    <row r="86" ht="15.75" customHeight="1">
      <c r="A86" s="1"/>
      <c r="C86" s="14"/>
      <c r="N86" s="1"/>
    </row>
    <row r="87" ht="15.75" customHeight="1">
      <c r="A87" s="1"/>
      <c r="C87" s="14"/>
      <c r="N87" s="1"/>
    </row>
    <row r="88" ht="15.75" customHeight="1">
      <c r="A88" s="1"/>
      <c r="C88" s="14"/>
      <c r="N88" s="1"/>
    </row>
    <row r="89" ht="15.75" customHeight="1">
      <c r="A89" s="1"/>
      <c r="C89" s="14"/>
      <c r="N89" s="1"/>
    </row>
    <row r="90" ht="15.75" customHeight="1">
      <c r="A90" s="1"/>
      <c r="C90" s="14"/>
      <c r="N90" s="1"/>
    </row>
    <row r="91" ht="15.75" customHeight="1">
      <c r="A91" s="1"/>
      <c r="C91" s="14"/>
      <c r="N91" s="1"/>
    </row>
    <row r="92" ht="15.75" customHeight="1">
      <c r="A92" s="1"/>
      <c r="C92" s="14"/>
      <c r="N92" s="1"/>
    </row>
    <row r="93" ht="15.75" customHeight="1">
      <c r="A93" s="1"/>
      <c r="C93" s="14"/>
      <c r="N93" s="1"/>
    </row>
    <row r="94" ht="15.75" customHeight="1">
      <c r="A94" s="1"/>
      <c r="C94" s="14"/>
      <c r="N94" s="1"/>
    </row>
    <row r="95" ht="15.75" customHeight="1">
      <c r="A95" s="1"/>
      <c r="C95" s="14"/>
      <c r="N95" s="1"/>
    </row>
    <row r="96" ht="15.75" customHeight="1">
      <c r="A96" s="1"/>
      <c r="C96" s="14"/>
      <c r="N96" s="1"/>
    </row>
    <row r="97" ht="15.75" customHeight="1">
      <c r="A97" s="1"/>
      <c r="C97" s="14"/>
      <c r="N97" s="1"/>
    </row>
    <row r="98" ht="15.75" customHeight="1">
      <c r="A98" s="1"/>
      <c r="C98" s="14"/>
      <c r="N98" s="1"/>
    </row>
    <row r="99" ht="15.75" customHeight="1">
      <c r="A99" s="1"/>
      <c r="C99" s="14"/>
      <c r="N99" s="1"/>
    </row>
    <row r="100" ht="15.75" customHeight="1">
      <c r="A100" s="1"/>
      <c r="C100" s="14"/>
      <c r="N100" s="1"/>
    </row>
    <row r="101" ht="15.75" customHeight="1">
      <c r="A101" s="1"/>
      <c r="C101" s="14"/>
      <c r="N101" s="1"/>
    </row>
    <row r="102" ht="15.75" customHeight="1">
      <c r="A102" s="1"/>
      <c r="C102" s="14"/>
      <c r="N102" s="1"/>
    </row>
    <row r="103" ht="15.75" customHeight="1">
      <c r="A103" s="1"/>
      <c r="C103" s="14"/>
      <c r="N103" s="1"/>
    </row>
    <row r="104" ht="15.75" customHeight="1">
      <c r="A104" s="1"/>
      <c r="C104" s="14"/>
      <c r="N104" s="1"/>
    </row>
    <row r="105" ht="15.75" customHeight="1">
      <c r="A105" s="1"/>
      <c r="C105" s="14"/>
      <c r="N105" s="1"/>
    </row>
    <row r="106" ht="15.75" customHeight="1">
      <c r="A106" s="1"/>
      <c r="C106" s="14"/>
      <c r="N106" s="1"/>
    </row>
    <row r="107" ht="15.75" customHeight="1">
      <c r="A107" s="1"/>
      <c r="C107" s="14"/>
      <c r="N107" s="1"/>
    </row>
    <row r="108" ht="15.75" customHeight="1">
      <c r="A108" s="1"/>
      <c r="C108" s="14"/>
      <c r="N108" s="1"/>
    </row>
    <row r="109" ht="15.75" customHeight="1">
      <c r="A109" s="1"/>
      <c r="C109" s="14"/>
      <c r="N109" s="1"/>
    </row>
    <row r="110" ht="15.75" customHeight="1">
      <c r="A110" s="1"/>
      <c r="C110" s="14"/>
      <c r="N110" s="1"/>
    </row>
    <row r="111" ht="15.75" customHeight="1">
      <c r="A111" s="1"/>
      <c r="C111" s="14"/>
      <c r="N111" s="1"/>
    </row>
    <row r="112" ht="15.75" customHeight="1">
      <c r="A112" s="1"/>
      <c r="C112" s="14"/>
      <c r="N112" s="1"/>
    </row>
    <row r="113" ht="15.75" customHeight="1">
      <c r="A113" s="1"/>
      <c r="C113" s="14"/>
      <c r="N113" s="1"/>
    </row>
    <row r="114" ht="15.75" customHeight="1">
      <c r="A114" s="1"/>
      <c r="C114" s="14"/>
      <c r="N114" s="1"/>
    </row>
    <row r="115" ht="15.75" customHeight="1">
      <c r="A115" s="1"/>
      <c r="C115" s="14"/>
      <c r="N115" s="1"/>
    </row>
    <row r="116" ht="15.75" customHeight="1">
      <c r="A116" s="1"/>
      <c r="C116" s="14"/>
      <c r="N116" s="1"/>
    </row>
    <row r="117" ht="15.75" customHeight="1">
      <c r="A117" s="1"/>
      <c r="C117" s="14"/>
      <c r="N117" s="1"/>
    </row>
    <row r="118" ht="15.75" customHeight="1">
      <c r="A118" s="1"/>
      <c r="C118" s="14"/>
      <c r="N118" s="1"/>
    </row>
    <row r="119" ht="15.75" customHeight="1">
      <c r="A119" s="1"/>
      <c r="C119" s="14"/>
      <c r="N119" s="1"/>
    </row>
    <row r="120" ht="15.75" customHeight="1">
      <c r="A120" s="1"/>
      <c r="C120" s="14"/>
      <c r="N120" s="1"/>
    </row>
    <row r="121" ht="15.75" customHeight="1">
      <c r="A121" s="1"/>
      <c r="C121" s="14"/>
      <c r="N121" s="1"/>
    </row>
    <row r="122" ht="15.75" customHeight="1">
      <c r="A122" s="1"/>
      <c r="C122" s="14"/>
      <c r="N122" s="1"/>
    </row>
    <row r="123" ht="15.75" customHeight="1">
      <c r="A123" s="1"/>
      <c r="C123" s="14"/>
      <c r="N123" s="1"/>
    </row>
    <row r="124" ht="15.75" customHeight="1">
      <c r="A124" s="1"/>
      <c r="C124" s="14"/>
      <c r="N124" s="1"/>
    </row>
    <row r="125" ht="15.75" customHeight="1">
      <c r="A125" s="1"/>
      <c r="C125" s="14"/>
      <c r="N125" s="1"/>
    </row>
    <row r="126" ht="15.75" customHeight="1">
      <c r="A126" s="1"/>
      <c r="C126" s="14"/>
      <c r="N126" s="1"/>
    </row>
    <row r="127" ht="15.75" customHeight="1">
      <c r="A127" s="1"/>
      <c r="C127" s="14"/>
      <c r="N127" s="1"/>
    </row>
    <row r="128" ht="15.75" customHeight="1">
      <c r="A128" s="1"/>
      <c r="C128" s="14"/>
      <c r="N128" s="1"/>
    </row>
    <row r="129" ht="15.75" customHeight="1">
      <c r="A129" s="1"/>
      <c r="C129" s="14"/>
      <c r="N129" s="1"/>
    </row>
    <row r="130" ht="15.75" customHeight="1">
      <c r="A130" s="1"/>
      <c r="C130" s="14"/>
      <c r="N130" s="1"/>
    </row>
    <row r="131" ht="15.75" customHeight="1">
      <c r="A131" s="1"/>
      <c r="C131" s="14"/>
      <c r="N131" s="1"/>
    </row>
    <row r="132" ht="15.75" customHeight="1">
      <c r="A132" s="1"/>
      <c r="C132" s="14"/>
      <c r="N132" s="1"/>
    </row>
    <row r="133" ht="15.75" customHeight="1">
      <c r="A133" s="1"/>
      <c r="C133" s="14"/>
      <c r="N133" s="1"/>
    </row>
    <row r="134" ht="15.75" customHeight="1">
      <c r="A134" s="1"/>
      <c r="C134" s="14"/>
      <c r="N134" s="1"/>
    </row>
    <row r="135" ht="15.75" customHeight="1">
      <c r="A135" s="1"/>
      <c r="C135" s="14"/>
      <c r="N135" s="1"/>
    </row>
    <row r="136" ht="15.75" customHeight="1">
      <c r="A136" s="1"/>
      <c r="C136" s="14"/>
      <c r="N136" s="1"/>
    </row>
    <row r="137" ht="15.75" customHeight="1">
      <c r="A137" s="1"/>
      <c r="C137" s="14"/>
      <c r="N137" s="1"/>
    </row>
    <row r="138" ht="15.75" customHeight="1">
      <c r="A138" s="1"/>
      <c r="C138" s="14"/>
      <c r="N138" s="1"/>
    </row>
    <row r="139" ht="15.75" customHeight="1">
      <c r="A139" s="1"/>
      <c r="C139" s="14"/>
      <c r="N139" s="1"/>
    </row>
    <row r="140" ht="15.75" customHeight="1">
      <c r="A140" s="1"/>
      <c r="C140" s="14"/>
      <c r="N140" s="1"/>
    </row>
    <row r="141" ht="15.75" customHeight="1">
      <c r="A141" s="1"/>
      <c r="C141" s="14"/>
      <c r="N141" s="1"/>
    </row>
    <row r="142" ht="15.75" customHeight="1">
      <c r="A142" s="1"/>
      <c r="C142" s="14"/>
      <c r="N142" s="1"/>
    </row>
    <row r="143" ht="15.75" customHeight="1">
      <c r="A143" s="1"/>
      <c r="C143" s="14"/>
      <c r="N143" s="1"/>
    </row>
    <row r="144" ht="15.75" customHeight="1">
      <c r="A144" s="1"/>
      <c r="C144" s="14"/>
      <c r="N144" s="1"/>
    </row>
    <row r="145" ht="15.75" customHeight="1">
      <c r="A145" s="1"/>
      <c r="C145" s="14"/>
      <c r="N145" s="1"/>
    </row>
    <row r="146" ht="15.75" customHeight="1">
      <c r="A146" s="1"/>
      <c r="C146" s="14"/>
      <c r="N146" s="1"/>
    </row>
    <row r="147" ht="15.75" customHeight="1">
      <c r="A147" s="1"/>
      <c r="C147" s="14"/>
      <c r="N147" s="1"/>
    </row>
    <row r="148" ht="15.75" customHeight="1">
      <c r="A148" s="1"/>
      <c r="C148" s="14"/>
      <c r="N148" s="1"/>
    </row>
    <row r="149" ht="15.75" customHeight="1">
      <c r="A149" s="1"/>
      <c r="C149" s="14"/>
      <c r="N149" s="1"/>
    </row>
    <row r="150" ht="15.75" customHeight="1">
      <c r="A150" s="1"/>
      <c r="C150" s="14"/>
      <c r="N150" s="1"/>
    </row>
    <row r="151" ht="15.75" customHeight="1">
      <c r="A151" s="1"/>
      <c r="C151" s="14"/>
      <c r="N151" s="1"/>
    </row>
    <row r="152" ht="15.75" customHeight="1">
      <c r="A152" s="1"/>
      <c r="C152" s="14"/>
      <c r="N152" s="1"/>
    </row>
    <row r="153" ht="15.75" customHeight="1">
      <c r="A153" s="1"/>
      <c r="C153" s="14"/>
      <c r="N153" s="1"/>
    </row>
    <row r="154" ht="15.75" customHeight="1">
      <c r="A154" s="1"/>
      <c r="C154" s="14"/>
      <c r="N154" s="1"/>
    </row>
    <row r="155" ht="15.75" customHeight="1">
      <c r="A155" s="1"/>
      <c r="C155" s="14"/>
      <c r="N155" s="1"/>
    </row>
    <row r="156" ht="15.75" customHeight="1">
      <c r="A156" s="1"/>
      <c r="C156" s="14"/>
      <c r="N156" s="1"/>
    </row>
    <row r="157" ht="15.75" customHeight="1">
      <c r="A157" s="1"/>
      <c r="C157" s="14"/>
      <c r="N157" s="1"/>
    </row>
    <row r="158" ht="15.75" customHeight="1">
      <c r="A158" s="1"/>
      <c r="C158" s="14"/>
      <c r="N158" s="1"/>
    </row>
    <row r="159" ht="15.75" customHeight="1">
      <c r="A159" s="1"/>
      <c r="C159" s="14"/>
      <c r="N159" s="1"/>
    </row>
    <row r="160" ht="15.75" customHeight="1">
      <c r="A160" s="1"/>
      <c r="C160" s="14"/>
      <c r="N160" s="1"/>
    </row>
    <row r="161" ht="15.75" customHeight="1">
      <c r="A161" s="1"/>
      <c r="C161" s="14"/>
      <c r="N161" s="1"/>
    </row>
    <row r="162" ht="15.75" customHeight="1">
      <c r="A162" s="1"/>
      <c r="C162" s="14"/>
      <c r="N162" s="1"/>
    </row>
    <row r="163" ht="15.75" customHeight="1">
      <c r="A163" s="1"/>
      <c r="C163" s="14"/>
      <c r="N163" s="1"/>
    </row>
    <row r="164" ht="15.75" customHeight="1">
      <c r="A164" s="1"/>
      <c r="C164" s="14"/>
      <c r="N164" s="1"/>
    </row>
    <row r="165" ht="15.75" customHeight="1">
      <c r="A165" s="1"/>
      <c r="C165" s="14"/>
      <c r="N165" s="1"/>
    </row>
    <row r="166" ht="15.75" customHeight="1">
      <c r="A166" s="1"/>
      <c r="C166" s="14"/>
      <c r="N166" s="1"/>
    </row>
    <row r="167" ht="15.75" customHeight="1">
      <c r="A167" s="1"/>
      <c r="C167" s="14"/>
      <c r="N167" s="1"/>
    </row>
    <row r="168" ht="15.75" customHeight="1">
      <c r="A168" s="1"/>
      <c r="C168" s="14"/>
      <c r="N168" s="1"/>
    </row>
    <row r="169" ht="15.75" customHeight="1">
      <c r="A169" s="1"/>
      <c r="C169" s="14"/>
      <c r="N169" s="1"/>
    </row>
    <row r="170" ht="15.75" customHeight="1">
      <c r="A170" s="1"/>
      <c r="C170" s="14"/>
      <c r="N170" s="1"/>
    </row>
    <row r="171" ht="15.75" customHeight="1">
      <c r="A171" s="1"/>
      <c r="C171" s="14"/>
      <c r="N171" s="1"/>
    </row>
    <row r="172" ht="15.75" customHeight="1">
      <c r="A172" s="1"/>
      <c r="C172" s="14"/>
      <c r="N172" s="1"/>
    </row>
    <row r="173" ht="15.75" customHeight="1">
      <c r="A173" s="1"/>
      <c r="C173" s="14"/>
      <c r="N173" s="1"/>
    </row>
    <row r="174" ht="15.75" customHeight="1">
      <c r="A174" s="1"/>
      <c r="C174" s="14"/>
      <c r="N174" s="1"/>
    </row>
    <row r="175" ht="15.75" customHeight="1">
      <c r="A175" s="1"/>
      <c r="C175" s="14"/>
      <c r="N175" s="1"/>
    </row>
    <row r="176" ht="15.75" customHeight="1">
      <c r="A176" s="1"/>
      <c r="C176" s="14"/>
      <c r="N176" s="1"/>
    </row>
    <row r="177" ht="15.75" customHeight="1">
      <c r="A177" s="1"/>
      <c r="C177" s="14"/>
      <c r="N177" s="1"/>
    </row>
    <row r="178" ht="15.75" customHeight="1">
      <c r="A178" s="1"/>
      <c r="C178" s="14"/>
      <c r="N178" s="1"/>
    </row>
    <row r="179" ht="15.75" customHeight="1">
      <c r="A179" s="1"/>
      <c r="C179" s="14"/>
      <c r="N179" s="1"/>
    </row>
    <row r="180" ht="15.75" customHeight="1">
      <c r="A180" s="1"/>
      <c r="C180" s="14"/>
      <c r="N180" s="1"/>
    </row>
    <row r="181" ht="15.75" customHeight="1">
      <c r="A181" s="1"/>
      <c r="C181" s="14"/>
      <c r="N181" s="1"/>
    </row>
    <row r="182" ht="15.75" customHeight="1">
      <c r="A182" s="1"/>
      <c r="C182" s="14"/>
      <c r="N182" s="1"/>
    </row>
    <row r="183" ht="15.75" customHeight="1">
      <c r="A183" s="1"/>
      <c r="C183" s="14"/>
      <c r="N183" s="1"/>
    </row>
    <row r="184" ht="15.75" customHeight="1">
      <c r="A184" s="1"/>
      <c r="C184" s="14"/>
      <c r="N184" s="1"/>
    </row>
    <row r="185" ht="15.75" customHeight="1">
      <c r="A185" s="1"/>
      <c r="C185" s="14"/>
      <c r="N185" s="1"/>
    </row>
    <row r="186" ht="15.75" customHeight="1">
      <c r="A186" s="1"/>
      <c r="C186" s="14"/>
      <c r="N186" s="1"/>
    </row>
    <row r="187" ht="15.75" customHeight="1">
      <c r="A187" s="1"/>
      <c r="C187" s="14"/>
      <c r="N187" s="1"/>
    </row>
    <row r="188" ht="15.75" customHeight="1">
      <c r="A188" s="1"/>
      <c r="C188" s="14"/>
      <c r="N188" s="1"/>
    </row>
    <row r="189" ht="15.75" customHeight="1">
      <c r="A189" s="1"/>
      <c r="C189" s="14"/>
      <c r="N189" s="1"/>
    </row>
    <row r="190" ht="15.75" customHeight="1">
      <c r="A190" s="1"/>
      <c r="C190" s="14"/>
      <c r="N190" s="1"/>
    </row>
    <row r="191" ht="15.75" customHeight="1">
      <c r="A191" s="1"/>
      <c r="C191" s="14"/>
      <c r="N191" s="1"/>
    </row>
    <row r="192" ht="15.75" customHeight="1">
      <c r="A192" s="1"/>
      <c r="C192" s="14"/>
      <c r="N192" s="1"/>
    </row>
    <row r="193" ht="15.75" customHeight="1">
      <c r="A193" s="1"/>
      <c r="C193" s="14"/>
      <c r="N193" s="1"/>
    </row>
    <row r="194" ht="15.75" customHeight="1">
      <c r="A194" s="1"/>
      <c r="C194" s="14"/>
      <c r="N194" s="1"/>
    </row>
    <row r="195" ht="15.75" customHeight="1">
      <c r="A195" s="1"/>
      <c r="C195" s="14"/>
      <c r="N195" s="1"/>
    </row>
    <row r="196" ht="15.75" customHeight="1">
      <c r="A196" s="1"/>
      <c r="C196" s="14"/>
      <c r="N196" s="1"/>
    </row>
    <row r="197" ht="15.75" customHeight="1">
      <c r="A197" s="1"/>
      <c r="C197" s="14"/>
      <c r="N197" s="1"/>
    </row>
    <row r="198" ht="15.75" customHeight="1">
      <c r="A198" s="1"/>
      <c r="C198" s="14"/>
      <c r="N198" s="1"/>
    </row>
    <row r="199" ht="15.75" customHeight="1">
      <c r="A199" s="1"/>
      <c r="C199" s="14"/>
      <c r="N199" s="1"/>
    </row>
    <row r="200" ht="15.75" customHeight="1">
      <c r="A200" s="1"/>
      <c r="C200" s="14"/>
      <c r="N200" s="1"/>
    </row>
    <row r="201" ht="15.75" customHeight="1">
      <c r="A201" s="1"/>
      <c r="C201" s="14"/>
      <c r="N201" s="1"/>
    </row>
    <row r="202" ht="15.75" customHeight="1">
      <c r="A202" s="1"/>
      <c r="C202" s="14"/>
      <c r="N202" s="1"/>
    </row>
    <row r="203" ht="15.75" customHeight="1">
      <c r="A203" s="1"/>
      <c r="C203" s="14"/>
      <c r="N203" s="1"/>
    </row>
    <row r="204" ht="15.75" customHeight="1">
      <c r="A204" s="1"/>
      <c r="C204" s="14"/>
      <c r="N204" s="1"/>
    </row>
    <row r="205" ht="15.75" customHeight="1">
      <c r="A205" s="1"/>
      <c r="C205" s="14"/>
      <c r="N205" s="1"/>
    </row>
    <row r="206" ht="15.75" customHeight="1">
      <c r="A206" s="1"/>
      <c r="C206" s="14"/>
      <c r="N206" s="1"/>
    </row>
    <row r="207" ht="15.75" customHeight="1">
      <c r="A207" s="1"/>
      <c r="C207" s="14"/>
      <c r="N207" s="1"/>
    </row>
    <row r="208" ht="15.75" customHeight="1">
      <c r="A208" s="1"/>
      <c r="C208" s="14"/>
      <c r="N208" s="1"/>
    </row>
    <row r="209" ht="15.75" customHeight="1">
      <c r="A209" s="1"/>
      <c r="C209" s="14"/>
      <c r="N209" s="1"/>
    </row>
    <row r="210" ht="15.75" customHeight="1">
      <c r="A210" s="1"/>
      <c r="C210" s="14"/>
      <c r="N210" s="1"/>
    </row>
    <row r="211" ht="15.75" customHeight="1">
      <c r="A211" s="1"/>
      <c r="C211" s="14"/>
      <c r="N211" s="1"/>
    </row>
    <row r="212" ht="15.75" customHeight="1">
      <c r="A212" s="1"/>
      <c r="C212" s="14"/>
      <c r="N212" s="1"/>
    </row>
    <row r="213" ht="15.75" customHeight="1">
      <c r="A213" s="1"/>
      <c r="C213" s="14"/>
      <c r="N213" s="1"/>
    </row>
    <row r="214" ht="15.75" customHeight="1">
      <c r="A214" s="1"/>
      <c r="C214" s="14"/>
      <c r="N214" s="1"/>
    </row>
    <row r="215" ht="15.75" customHeight="1">
      <c r="A215" s="1"/>
      <c r="C215" s="14"/>
      <c r="N215" s="1"/>
    </row>
    <row r="216" ht="15.75" customHeight="1">
      <c r="A216" s="1"/>
      <c r="C216" s="14"/>
      <c r="N216" s="1"/>
    </row>
    <row r="217" ht="15.75" customHeight="1">
      <c r="A217" s="1"/>
      <c r="C217" s="14"/>
      <c r="N217" s="1"/>
    </row>
    <row r="218" ht="15.75" customHeight="1">
      <c r="A218" s="1"/>
      <c r="C218" s="14"/>
      <c r="N218" s="1"/>
    </row>
    <row r="219" ht="15.75" customHeight="1">
      <c r="A219" s="1"/>
      <c r="C219" s="14"/>
      <c r="N219" s="1"/>
    </row>
    <row r="220" ht="15.75" customHeight="1">
      <c r="A220" s="1"/>
      <c r="C220" s="14"/>
      <c r="N220" s="1"/>
    </row>
    <row r="221" ht="15.75" customHeight="1">
      <c r="A221" s="1"/>
      <c r="C221" s="14"/>
      <c r="N221" s="1"/>
    </row>
    <row r="222" ht="15.75" customHeight="1">
      <c r="A222" s="1"/>
      <c r="C222" s="14"/>
      <c r="N222" s="1"/>
    </row>
    <row r="223" ht="15.75" customHeight="1">
      <c r="A223" s="1"/>
      <c r="C223" s="14"/>
      <c r="N223" s="1"/>
    </row>
    <row r="224" ht="15.75" customHeight="1">
      <c r="A224" s="1"/>
      <c r="C224" s="14"/>
      <c r="N224" s="1"/>
    </row>
    <row r="225" ht="15.75" customHeight="1">
      <c r="A225" s="1"/>
      <c r="C225" s="14"/>
      <c r="N225" s="1"/>
    </row>
    <row r="226" ht="15.75" customHeight="1">
      <c r="A226" s="1"/>
      <c r="C226" s="14"/>
      <c r="N226" s="1"/>
    </row>
    <row r="227" ht="15.75" customHeight="1">
      <c r="A227" s="1"/>
      <c r="C227" s="14"/>
      <c r="N227" s="1"/>
    </row>
    <row r="228" ht="15.75" customHeight="1">
      <c r="A228" s="1"/>
      <c r="C228" s="14"/>
      <c r="N228" s="1"/>
    </row>
    <row r="229" ht="15.75" customHeight="1">
      <c r="A229" s="1"/>
      <c r="C229" s="14"/>
      <c r="N229" s="1"/>
    </row>
    <row r="230" ht="15.75" customHeight="1">
      <c r="A230" s="1"/>
      <c r="C230" s="14"/>
      <c r="N230" s="1"/>
    </row>
    <row r="231" ht="15.75" customHeight="1">
      <c r="A231" s="1"/>
      <c r="C231" s="14"/>
      <c r="N231" s="1"/>
    </row>
    <row r="232" ht="15.75" customHeight="1">
      <c r="A232" s="1"/>
      <c r="C232" s="14"/>
      <c r="N232" s="1"/>
    </row>
    <row r="233" ht="15.75" customHeight="1">
      <c r="A233" s="1"/>
      <c r="C233" s="14"/>
      <c r="N233" s="1"/>
    </row>
    <row r="234" ht="15.75" customHeight="1">
      <c r="A234" s="1"/>
      <c r="C234" s="14"/>
      <c r="N234" s="1"/>
    </row>
    <row r="235" ht="15.75" customHeight="1">
      <c r="A235" s="1"/>
      <c r="C235" s="14"/>
      <c r="N235" s="1"/>
    </row>
    <row r="236" ht="15.75" customHeight="1">
      <c r="A236" s="1"/>
      <c r="C236" s="14"/>
      <c r="N236" s="1"/>
    </row>
    <row r="237" ht="15.75" customHeight="1">
      <c r="A237" s="1"/>
      <c r="C237" s="14"/>
      <c r="N237" s="1"/>
    </row>
    <row r="238" ht="15.75" customHeight="1">
      <c r="A238" s="1"/>
      <c r="C238" s="14"/>
      <c r="N238" s="1"/>
    </row>
    <row r="239" ht="15.75" customHeight="1">
      <c r="A239" s="1"/>
      <c r="C239" s="14"/>
      <c r="N239" s="1"/>
    </row>
    <row r="240" ht="15.75" customHeight="1">
      <c r="A240" s="1"/>
      <c r="C240" s="14"/>
      <c r="N240" s="1"/>
    </row>
    <row r="241" ht="15.75" customHeight="1">
      <c r="A241" s="1"/>
      <c r="C241" s="14"/>
      <c r="N241" s="1"/>
    </row>
    <row r="242" ht="15.75" customHeight="1">
      <c r="A242" s="1"/>
      <c r="C242" s="14"/>
      <c r="N242" s="1"/>
    </row>
    <row r="243" ht="15.75" customHeight="1">
      <c r="A243" s="1"/>
      <c r="C243" s="14"/>
      <c r="N243" s="1"/>
    </row>
    <row r="244" ht="15.75" customHeight="1">
      <c r="A244" s="1"/>
      <c r="C244" s="14"/>
      <c r="N244" s="1"/>
    </row>
    <row r="245" ht="15.75" customHeight="1">
      <c r="A245" s="1"/>
      <c r="C245" s="14"/>
      <c r="N245" s="1"/>
    </row>
    <row r="246" ht="15.75" customHeight="1">
      <c r="A246" s="1"/>
      <c r="C246" s="14"/>
      <c r="N246" s="1"/>
    </row>
    <row r="247" ht="15.75" customHeight="1">
      <c r="A247" s="1"/>
      <c r="C247" s="14"/>
      <c r="N247" s="1"/>
    </row>
    <row r="248" ht="15.75" customHeight="1">
      <c r="A248" s="1"/>
      <c r="C248" s="14"/>
      <c r="N248" s="1"/>
    </row>
    <row r="249" ht="15.75" customHeight="1">
      <c r="A249" s="1"/>
      <c r="C249" s="14"/>
      <c r="N249" s="1"/>
    </row>
    <row r="250" ht="15.75" customHeight="1">
      <c r="A250" s="1"/>
      <c r="C250" s="14"/>
      <c r="N250" s="1"/>
    </row>
    <row r="251" ht="15.75" customHeight="1">
      <c r="A251" s="1"/>
      <c r="C251" s="14"/>
      <c r="N251" s="1"/>
    </row>
    <row r="252" ht="15.75" customHeight="1">
      <c r="A252" s="1"/>
      <c r="C252" s="14"/>
      <c r="N252" s="1"/>
    </row>
    <row r="253" ht="15.75" customHeight="1">
      <c r="A253" s="1"/>
      <c r="C253" s="14"/>
      <c r="N253" s="1"/>
    </row>
    <row r="254" ht="15.75" customHeight="1">
      <c r="A254" s="1"/>
      <c r="C254" s="14"/>
      <c r="N254" s="1"/>
    </row>
    <row r="255" ht="15.75" customHeight="1">
      <c r="A255" s="1"/>
      <c r="C255" s="14"/>
      <c r="N255" s="1"/>
    </row>
    <row r="256" ht="15.75" customHeight="1">
      <c r="A256" s="1"/>
      <c r="C256" s="14"/>
      <c r="N256" s="1"/>
    </row>
    <row r="257" ht="15.75" customHeight="1">
      <c r="A257" s="1"/>
      <c r="C257" s="14"/>
      <c r="N257" s="1"/>
    </row>
    <row r="258" ht="15.75" customHeight="1">
      <c r="A258" s="1"/>
      <c r="C258" s="14"/>
      <c r="N258" s="1"/>
    </row>
    <row r="259" ht="15.75" customHeight="1">
      <c r="A259" s="1"/>
      <c r="C259" s="14"/>
      <c r="N259" s="1"/>
    </row>
    <row r="260" ht="15.75" customHeight="1">
      <c r="A260" s="1"/>
      <c r="C260" s="14"/>
      <c r="N260" s="1"/>
    </row>
    <row r="261" ht="15.75" customHeight="1">
      <c r="A261" s="1"/>
      <c r="C261" s="14"/>
      <c r="N261" s="1"/>
    </row>
    <row r="262" ht="15.75" customHeight="1">
      <c r="A262" s="1"/>
      <c r="C262" s="14"/>
      <c r="N262" s="1"/>
    </row>
    <row r="263" ht="15.75" customHeight="1">
      <c r="A263" s="1"/>
      <c r="C263" s="14"/>
      <c r="N263" s="1"/>
    </row>
    <row r="264" ht="15.75" customHeight="1">
      <c r="A264" s="1"/>
      <c r="C264" s="14"/>
      <c r="N264" s="1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9">
    <mergeCell ref="B2:M4"/>
    <mergeCell ref="B5:M7"/>
    <mergeCell ref="B10:M12"/>
    <mergeCell ref="D14:H14"/>
    <mergeCell ref="I14:L14"/>
    <mergeCell ref="D15:H15"/>
    <mergeCell ref="I15:L15"/>
    <mergeCell ref="B18:M20"/>
    <mergeCell ref="D22:H22"/>
    <mergeCell ref="I22:L22"/>
    <mergeCell ref="D23:H23"/>
    <mergeCell ref="I23:L23"/>
    <mergeCell ref="D24:H24"/>
    <mergeCell ref="I24:L24"/>
    <mergeCell ref="B27:M29"/>
    <mergeCell ref="D31:H31"/>
    <mergeCell ref="I31:L31"/>
    <mergeCell ref="D32:H32"/>
    <mergeCell ref="I32:L32"/>
    <mergeCell ref="B35:M37"/>
    <mergeCell ref="I39:L39"/>
    <mergeCell ref="D39:H39"/>
    <mergeCell ref="D40:H40"/>
    <mergeCell ref="I40:L40"/>
    <mergeCell ref="B43:M45"/>
    <mergeCell ref="D47:H47"/>
    <mergeCell ref="I47:L47"/>
    <mergeCell ref="I48:L48"/>
    <mergeCell ref="D63:H63"/>
    <mergeCell ref="I63:L63"/>
    <mergeCell ref="D64:H64"/>
    <mergeCell ref="I64:L64"/>
    <mergeCell ref="D48:H48"/>
    <mergeCell ref="B51:M53"/>
    <mergeCell ref="D55:H55"/>
    <mergeCell ref="I55:L55"/>
    <mergeCell ref="D56:H56"/>
    <mergeCell ref="I56:L56"/>
    <mergeCell ref="B59:M61"/>
  </mergeCells>
  <conditionalFormatting sqref="M15 M23 M32 M40 M48 M56 M64">
    <cfRule type="containsText" dxfId="0" priority="1" operator="containsText" text="Público Criado">
      <formula>NOT(ISERROR(SEARCH(("Público Criado"),(M15))))</formula>
    </cfRule>
  </conditionalFormatting>
  <conditionalFormatting sqref="M15 M23 M32 M40 M48 M56 M64">
    <cfRule type="containsText" dxfId="1" priority="2" operator="containsText" text="Público Pendente">
      <formula>NOT(ISERROR(SEARCH(("Público Pendente"),(M15))))</formula>
    </cfRule>
  </conditionalFormatting>
  <conditionalFormatting sqref="M1 M8:M9 M13:M17 M21:M26 M30:M34 M38:M40 M42 M46:M50 M54:M58 M62:M1001">
    <cfRule type="containsText" dxfId="1" priority="3" operator="containsText" text="Atrasado">
      <formula>NOT(ISERROR(SEARCH(("Atrasado"),(M1))))</formula>
    </cfRule>
  </conditionalFormatting>
  <conditionalFormatting sqref="M1 M8:M9 M13:M17 M21:M26 M30:M34 M38:M40 M42 M46:M50 M54:M58 M62:M1001">
    <cfRule type="containsText" dxfId="2" priority="4" operator="containsText" text="Faltam">
      <formula>NOT(ISERROR(SEARCH(("Faltam"),(M1))))</formula>
    </cfRule>
  </conditionalFormatting>
  <conditionalFormatting sqref="M1 M8:M9 M13:M17 M21:M26 M30:M34 M38:M40 M42 M46:M50 M54:M58 M62:M1001">
    <cfRule type="containsText" dxfId="2" priority="5" operator="containsText" text="É pra">
      <formula>NOT(ISERROR(SEARCH(("É pra"),(M1))))</formula>
    </cfRule>
  </conditionalFormatting>
  <conditionalFormatting sqref="M1 M8:M9 M13:M17 M21:M26 M30:M34 M38:M40 M42 M46:M50 M54:M58 M62:M1001">
    <cfRule type="containsText" dxfId="0" priority="6" operator="containsText" text="Atividade Concluída">
      <formula>NOT(ISERROR(SEARCH(("Atividade Concluída"),(M1))))</formula>
    </cfRule>
  </conditionalFormatting>
  <conditionalFormatting sqref="M1 M8:M9 M13:M17 M21:M26 M30:M34 M38:M40 M42 M46:M50 M54:M58 M62:M1001">
    <cfRule type="containsText" dxfId="3" priority="7" operator="containsText" text="Pendente">
      <formula>NOT(ISERROR(SEARCH(("Pendente"),(M1))))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7" width="10.63"/>
    <col customWidth="1" min="8" max="8" width="8.13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14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21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1.0</v>
      </c>
      <c r="D15" s="23" t="s">
        <v>34</v>
      </c>
      <c r="E15" s="18"/>
      <c r="F15" s="18"/>
      <c r="G15" s="18"/>
      <c r="H15" s="19"/>
      <c r="I15" s="24" t="s">
        <v>36</v>
      </c>
      <c r="J15" s="18"/>
      <c r="K15" s="18"/>
      <c r="L15" s="19"/>
      <c r="M15" s="22" t="str">
        <f t="shared" ref="M15:M19" si="1">IF(B15=TRUE,"Público Criado","Público Pendente")</f>
        <v>Público Pendente</v>
      </c>
      <c r="N15" s="1"/>
    </row>
    <row r="16" ht="15.75" customHeight="1">
      <c r="A16" s="1"/>
      <c r="B16" s="21" t="b">
        <v>0</v>
      </c>
      <c r="C16" s="22">
        <v>2.0</v>
      </c>
      <c r="D16" s="23" t="s">
        <v>44</v>
      </c>
      <c r="E16" s="18"/>
      <c r="F16" s="18"/>
      <c r="G16" s="18"/>
      <c r="H16" s="19"/>
      <c r="I16" s="24" t="s">
        <v>45</v>
      </c>
      <c r="J16" s="18"/>
      <c r="K16" s="18"/>
      <c r="L16" s="19"/>
      <c r="M16" s="22" t="str">
        <f t="shared" si="1"/>
        <v>Público Pendente</v>
      </c>
      <c r="N16" s="1"/>
    </row>
    <row r="17" ht="15.75" customHeight="1">
      <c r="A17" s="1"/>
      <c r="B17" s="21" t="b">
        <v>0</v>
      </c>
      <c r="C17" s="22">
        <v>3.0</v>
      </c>
      <c r="D17" s="23" t="s">
        <v>49</v>
      </c>
      <c r="E17" s="18"/>
      <c r="F17" s="18"/>
      <c r="G17" s="18"/>
      <c r="H17" s="19"/>
      <c r="I17" s="24" t="s">
        <v>50</v>
      </c>
      <c r="J17" s="18"/>
      <c r="K17" s="18"/>
      <c r="L17" s="19"/>
      <c r="M17" s="22" t="str">
        <f t="shared" si="1"/>
        <v>Público Pendente</v>
      </c>
      <c r="N17" s="1"/>
    </row>
    <row r="18" ht="15.75" customHeight="1">
      <c r="A18" s="1"/>
      <c r="B18" s="21" t="b">
        <v>0</v>
      </c>
      <c r="C18" s="22">
        <v>4.0</v>
      </c>
      <c r="D18" s="23" t="s">
        <v>53</v>
      </c>
      <c r="E18" s="18"/>
      <c r="F18" s="18"/>
      <c r="G18" s="18"/>
      <c r="H18" s="19"/>
      <c r="I18" s="24" t="s">
        <v>56</v>
      </c>
      <c r="J18" s="18"/>
      <c r="K18" s="18"/>
      <c r="L18" s="19"/>
      <c r="M18" s="22" t="str">
        <f t="shared" si="1"/>
        <v>Público Pendente</v>
      </c>
      <c r="N18" s="1"/>
    </row>
    <row r="19" ht="15.75" customHeight="1">
      <c r="A19" s="1"/>
      <c r="B19" s="21" t="b">
        <v>0</v>
      </c>
      <c r="C19" s="22">
        <v>5.0</v>
      </c>
      <c r="D19" s="23" t="s">
        <v>61</v>
      </c>
      <c r="E19" s="18"/>
      <c r="F19" s="18"/>
      <c r="G19" s="18"/>
      <c r="H19" s="19"/>
      <c r="I19" s="24" t="s">
        <v>64</v>
      </c>
      <c r="J19" s="18"/>
      <c r="K19" s="18"/>
      <c r="L19" s="19"/>
      <c r="M19" s="22" t="str">
        <f t="shared" si="1"/>
        <v>Público Pendente</v>
      </c>
      <c r="N19" s="1"/>
    </row>
    <row r="20" ht="15.75" customHeight="1">
      <c r="A20" s="1"/>
      <c r="B20" s="23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"/>
    </row>
    <row r="21" ht="15.75" customHeight="1">
      <c r="A21" s="1"/>
      <c r="B21" s="21" t="b">
        <v>0</v>
      </c>
      <c r="C21" s="22">
        <v>1.0</v>
      </c>
      <c r="D21" s="23" t="s">
        <v>73</v>
      </c>
      <c r="E21" s="18"/>
      <c r="F21" s="18"/>
      <c r="G21" s="18"/>
      <c r="H21" s="19"/>
      <c r="I21" s="24" t="s">
        <v>75</v>
      </c>
      <c r="J21" s="18"/>
      <c r="K21" s="18"/>
      <c r="L21" s="19"/>
      <c r="M21" s="22" t="str">
        <f t="shared" ref="M21:M26" si="2">IF(B21=TRUE,"Público Criado","Público Pendente")</f>
        <v>Público Pendente</v>
      </c>
      <c r="N21" s="1"/>
    </row>
    <row r="22" ht="15.75" customHeight="1">
      <c r="A22" s="1"/>
      <c r="B22" s="21" t="b">
        <v>0</v>
      </c>
      <c r="C22" s="22">
        <v>2.0</v>
      </c>
      <c r="D22" s="23" t="s">
        <v>78</v>
      </c>
      <c r="E22" s="18"/>
      <c r="F22" s="18"/>
      <c r="G22" s="18"/>
      <c r="H22" s="19"/>
      <c r="I22" s="24" t="s">
        <v>80</v>
      </c>
      <c r="J22" s="18"/>
      <c r="K22" s="18"/>
      <c r="L22" s="19"/>
      <c r="M22" s="22" t="str">
        <f t="shared" si="2"/>
        <v>Público Pendente</v>
      </c>
      <c r="N22" s="1"/>
    </row>
    <row r="23" ht="15.75" customHeight="1">
      <c r="A23" s="1"/>
      <c r="B23" s="21" t="b">
        <v>0</v>
      </c>
      <c r="C23" s="22">
        <v>3.0</v>
      </c>
      <c r="D23" s="23" t="s">
        <v>85</v>
      </c>
      <c r="E23" s="18"/>
      <c r="F23" s="18"/>
      <c r="G23" s="18"/>
      <c r="H23" s="19"/>
      <c r="I23" s="24" t="s">
        <v>87</v>
      </c>
      <c r="J23" s="18"/>
      <c r="K23" s="18"/>
      <c r="L23" s="19"/>
      <c r="M23" s="22" t="str">
        <f t="shared" si="2"/>
        <v>Público Pendente</v>
      </c>
      <c r="N23" s="1"/>
    </row>
    <row r="24" ht="15.75" customHeight="1">
      <c r="A24" s="1"/>
      <c r="B24" s="21" t="b">
        <v>0</v>
      </c>
      <c r="C24" s="22">
        <v>4.0</v>
      </c>
      <c r="D24" s="23" t="s">
        <v>90</v>
      </c>
      <c r="E24" s="18"/>
      <c r="F24" s="18"/>
      <c r="G24" s="18"/>
      <c r="H24" s="19"/>
      <c r="I24" s="24" t="s">
        <v>93</v>
      </c>
      <c r="J24" s="18"/>
      <c r="K24" s="18"/>
      <c r="L24" s="19"/>
      <c r="M24" s="22" t="str">
        <f t="shared" si="2"/>
        <v>Público Pendente</v>
      </c>
      <c r="N24" s="1"/>
    </row>
    <row r="25" ht="15.75" customHeight="1">
      <c r="A25" s="1"/>
      <c r="B25" s="21" t="b">
        <v>0</v>
      </c>
      <c r="C25" s="22">
        <v>5.0</v>
      </c>
      <c r="D25" s="23" t="s">
        <v>96</v>
      </c>
      <c r="E25" s="18"/>
      <c r="F25" s="18"/>
      <c r="G25" s="18"/>
      <c r="H25" s="19"/>
      <c r="I25" s="24" t="s">
        <v>101</v>
      </c>
      <c r="J25" s="18"/>
      <c r="K25" s="18"/>
      <c r="L25" s="19"/>
      <c r="M25" s="22" t="str">
        <f t="shared" si="2"/>
        <v>Público Pendente</v>
      </c>
      <c r="N25" s="1"/>
    </row>
    <row r="26" ht="15.75" customHeight="1">
      <c r="A26" s="1"/>
      <c r="B26" s="21" t="b">
        <v>0</v>
      </c>
      <c r="C26" s="22">
        <v>6.0</v>
      </c>
      <c r="D26" s="23" t="s">
        <v>104</v>
      </c>
      <c r="E26" s="18"/>
      <c r="F26" s="18"/>
      <c r="G26" s="18"/>
      <c r="H26" s="19"/>
      <c r="I26" s="24" t="s">
        <v>105</v>
      </c>
      <c r="J26" s="18"/>
      <c r="K26" s="18"/>
      <c r="L26" s="19"/>
      <c r="M26" s="22" t="str">
        <f t="shared" si="2"/>
        <v>Público Pendente</v>
      </c>
      <c r="N26" s="1"/>
    </row>
    <row r="27" ht="15.75" customHeight="1">
      <c r="A27" s="1"/>
      <c r="B27" s="23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1"/>
    </row>
    <row r="28" ht="15.75" customHeight="1">
      <c r="A28" s="1"/>
      <c r="B28" s="21" t="b">
        <v>0</v>
      </c>
      <c r="C28" s="22">
        <v>1.0</v>
      </c>
      <c r="D28" s="23" t="s">
        <v>112</v>
      </c>
      <c r="E28" s="18"/>
      <c r="F28" s="18"/>
      <c r="G28" s="18"/>
      <c r="H28" s="19"/>
      <c r="I28" s="24" t="s">
        <v>114</v>
      </c>
      <c r="J28" s="18"/>
      <c r="K28" s="18"/>
      <c r="L28" s="19"/>
      <c r="M28" s="22" t="str">
        <f t="shared" ref="M28:M33" si="3">IF(B28=TRUE,"Público Criado","Público Pendente")</f>
        <v>Público Pendente</v>
      </c>
      <c r="N28" s="1"/>
    </row>
    <row r="29" ht="15.75" customHeight="1">
      <c r="A29" s="1"/>
      <c r="B29" s="21" t="b">
        <v>0</v>
      </c>
      <c r="C29" s="22">
        <v>2.0</v>
      </c>
      <c r="D29" s="23" t="s">
        <v>121</v>
      </c>
      <c r="E29" s="18"/>
      <c r="F29" s="18"/>
      <c r="G29" s="18"/>
      <c r="H29" s="19"/>
      <c r="I29" s="24" t="s">
        <v>124</v>
      </c>
      <c r="J29" s="18"/>
      <c r="K29" s="18"/>
      <c r="L29" s="19"/>
      <c r="M29" s="22" t="str">
        <f t="shared" si="3"/>
        <v>Público Pendente</v>
      </c>
      <c r="N29" s="1"/>
    </row>
    <row r="30" ht="15.75" customHeight="1">
      <c r="A30" s="1"/>
      <c r="B30" s="21" t="b">
        <v>0</v>
      </c>
      <c r="C30" s="22">
        <v>3.0</v>
      </c>
      <c r="D30" s="23" t="s">
        <v>127</v>
      </c>
      <c r="E30" s="18"/>
      <c r="F30" s="18"/>
      <c r="G30" s="18"/>
      <c r="H30" s="19"/>
      <c r="I30" s="24" t="s">
        <v>131</v>
      </c>
      <c r="J30" s="18"/>
      <c r="K30" s="18"/>
      <c r="L30" s="19"/>
      <c r="M30" s="22" t="str">
        <f t="shared" si="3"/>
        <v>Público Pendente</v>
      </c>
      <c r="N30" s="1"/>
    </row>
    <row r="31" ht="15.75" customHeight="1">
      <c r="A31" s="1"/>
      <c r="B31" s="21" t="b">
        <v>0</v>
      </c>
      <c r="C31" s="22">
        <v>4.0</v>
      </c>
      <c r="D31" s="23" t="s">
        <v>135</v>
      </c>
      <c r="E31" s="18"/>
      <c r="F31" s="18"/>
      <c r="G31" s="18"/>
      <c r="H31" s="19"/>
      <c r="I31" s="24" t="s">
        <v>138</v>
      </c>
      <c r="J31" s="18"/>
      <c r="K31" s="18"/>
      <c r="L31" s="19"/>
      <c r="M31" s="22" t="str">
        <f t="shared" si="3"/>
        <v>Público Pendente</v>
      </c>
      <c r="N31" s="1"/>
    </row>
    <row r="32" ht="15.75" customHeight="1">
      <c r="A32" s="1"/>
      <c r="B32" s="21" t="b">
        <v>0</v>
      </c>
      <c r="C32" s="22">
        <v>5.0</v>
      </c>
      <c r="D32" s="23" t="s">
        <v>144</v>
      </c>
      <c r="E32" s="18"/>
      <c r="F32" s="18"/>
      <c r="G32" s="18"/>
      <c r="H32" s="19"/>
      <c r="I32" s="24" t="s">
        <v>147</v>
      </c>
      <c r="J32" s="18"/>
      <c r="K32" s="18"/>
      <c r="L32" s="19"/>
      <c r="M32" s="22" t="str">
        <f t="shared" si="3"/>
        <v>Público Pendente</v>
      </c>
      <c r="N32" s="1"/>
    </row>
    <row r="33" ht="15.75" customHeight="1">
      <c r="A33" s="1"/>
      <c r="B33" s="21" t="b">
        <v>0</v>
      </c>
      <c r="C33" s="22">
        <v>6.0</v>
      </c>
      <c r="D33" s="23" t="s">
        <v>150</v>
      </c>
      <c r="E33" s="18"/>
      <c r="F33" s="18"/>
      <c r="G33" s="18"/>
      <c r="H33" s="19"/>
      <c r="I33" s="24" t="s">
        <v>152</v>
      </c>
      <c r="J33" s="18"/>
      <c r="K33" s="18"/>
      <c r="L33" s="19"/>
      <c r="M33" s="22" t="str">
        <f t="shared" si="3"/>
        <v>Público Pendente</v>
      </c>
      <c r="N33" s="1"/>
    </row>
    <row r="34" ht="15.75" customHeight="1">
      <c r="A34" s="1"/>
      <c r="B34" s="23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1"/>
    </row>
    <row r="35" ht="15.75" customHeight="1">
      <c r="A35" s="1"/>
      <c r="B35" s="21" t="b">
        <v>0</v>
      </c>
      <c r="C35" s="22">
        <v>1.0</v>
      </c>
      <c r="D35" s="23" t="s">
        <v>158</v>
      </c>
      <c r="E35" s="18"/>
      <c r="F35" s="18"/>
      <c r="G35" s="18"/>
      <c r="H35" s="19"/>
      <c r="I35" s="24" t="s">
        <v>163</v>
      </c>
      <c r="J35" s="18"/>
      <c r="K35" s="18"/>
      <c r="L35" s="19"/>
      <c r="M35" s="22" t="str">
        <f t="shared" ref="M35:M40" si="4">IF(B35=TRUE,"Público Criado","Público Pendente")</f>
        <v>Público Pendente</v>
      </c>
      <c r="N35" s="1"/>
    </row>
    <row r="36" ht="15.75" customHeight="1">
      <c r="A36" s="1"/>
      <c r="B36" s="21" t="b">
        <v>0</v>
      </c>
      <c r="C36" s="22">
        <v>2.0</v>
      </c>
      <c r="D36" s="23" t="s">
        <v>172</v>
      </c>
      <c r="E36" s="18"/>
      <c r="F36" s="18"/>
      <c r="G36" s="18"/>
      <c r="H36" s="19"/>
      <c r="I36" s="24" t="s">
        <v>174</v>
      </c>
      <c r="J36" s="18"/>
      <c r="K36" s="18"/>
      <c r="L36" s="19"/>
      <c r="M36" s="22" t="str">
        <f t="shared" si="4"/>
        <v>Público Pendente</v>
      </c>
      <c r="N36" s="1"/>
    </row>
    <row r="37" ht="15.75" customHeight="1">
      <c r="A37" s="1"/>
      <c r="B37" s="21" t="b">
        <v>0</v>
      </c>
      <c r="C37" s="22">
        <v>3.0</v>
      </c>
      <c r="D37" s="23" t="s">
        <v>178</v>
      </c>
      <c r="E37" s="18"/>
      <c r="F37" s="18"/>
      <c r="G37" s="18"/>
      <c r="H37" s="19"/>
      <c r="I37" s="24" t="s">
        <v>179</v>
      </c>
      <c r="J37" s="18"/>
      <c r="K37" s="18"/>
      <c r="L37" s="19"/>
      <c r="M37" s="22" t="str">
        <f t="shared" si="4"/>
        <v>Público Pendente</v>
      </c>
      <c r="N37" s="1"/>
    </row>
    <row r="38" ht="15.75" customHeight="1">
      <c r="A38" s="1"/>
      <c r="B38" s="21" t="b">
        <v>0</v>
      </c>
      <c r="C38" s="22">
        <v>4.0</v>
      </c>
      <c r="D38" s="23" t="s">
        <v>184</v>
      </c>
      <c r="E38" s="18"/>
      <c r="F38" s="18"/>
      <c r="G38" s="18"/>
      <c r="H38" s="19"/>
      <c r="I38" s="24" t="s">
        <v>185</v>
      </c>
      <c r="J38" s="18"/>
      <c r="K38" s="18"/>
      <c r="L38" s="19"/>
      <c r="M38" s="22" t="str">
        <f t="shared" si="4"/>
        <v>Público Pendente</v>
      </c>
      <c r="N38" s="1"/>
    </row>
    <row r="39" ht="15.75" customHeight="1">
      <c r="A39" s="1"/>
      <c r="B39" s="21" t="b">
        <v>0</v>
      </c>
      <c r="C39" s="22">
        <v>5.0</v>
      </c>
      <c r="D39" s="23" t="s">
        <v>186</v>
      </c>
      <c r="E39" s="18"/>
      <c r="F39" s="18"/>
      <c r="G39" s="18"/>
      <c r="H39" s="19"/>
      <c r="I39" s="24" t="s">
        <v>188</v>
      </c>
      <c r="J39" s="18"/>
      <c r="K39" s="18"/>
      <c r="L39" s="19"/>
      <c r="M39" s="22" t="str">
        <f t="shared" si="4"/>
        <v>Público Pendente</v>
      </c>
      <c r="N39" s="1"/>
    </row>
    <row r="40" ht="15.75" customHeight="1">
      <c r="A40" s="1"/>
      <c r="B40" s="21" t="b">
        <v>0</v>
      </c>
      <c r="C40" s="22">
        <v>6.0</v>
      </c>
      <c r="D40" s="23" t="s">
        <v>191</v>
      </c>
      <c r="E40" s="18"/>
      <c r="F40" s="18"/>
      <c r="G40" s="18"/>
      <c r="H40" s="19"/>
      <c r="I40" s="24" t="s">
        <v>192</v>
      </c>
      <c r="J40" s="18"/>
      <c r="K40" s="18"/>
      <c r="L40" s="19"/>
      <c r="M40" s="22" t="str">
        <f t="shared" si="4"/>
        <v>Público Pendente</v>
      </c>
      <c r="N40" s="1"/>
    </row>
    <row r="41" ht="15.75" customHeight="1">
      <c r="A41" s="1"/>
      <c r="C41" s="14"/>
      <c r="N41" s="1"/>
    </row>
    <row r="42" ht="15.75" customHeight="1">
      <c r="A42" s="1"/>
      <c r="C42" s="14"/>
      <c r="N42" s="1"/>
    </row>
    <row r="43" ht="15.75" customHeight="1">
      <c r="A43" s="25"/>
      <c r="B43" s="26" t="s">
        <v>195</v>
      </c>
      <c r="N43" s="25"/>
    </row>
    <row r="44" ht="15.75" customHeight="1">
      <c r="A44" s="25"/>
      <c r="N44" s="25"/>
    </row>
    <row r="45" ht="15.75" customHeight="1">
      <c r="A45" s="25"/>
      <c r="N45" s="25"/>
    </row>
    <row r="46" ht="15.75" customHeight="1">
      <c r="A46" s="25"/>
      <c r="C46" s="14"/>
      <c r="N46" s="25"/>
    </row>
    <row r="47" ht="15.75" customHeight="1">
      <c r="A47" s="25"/>
      <c r="B47" s="27"/>
      <c r="C47" s="27" t="s">
        <v>4</v>
      </c>
      <c r="D47" s="28" t="s">
        <v>5</v>
      </c>
      <c r="E47" s="18"/>
      <c r="F47" s="18"/>
      <c r="G47" s="18"/>
      <c r="H47" s="19"/>
      <c r="I47" s="29" t="s">
        <v>6</v>
      </c>
      <c r="J47" s="18"/>
      <c r="K47" s="18"/>
      <c r="L47" s="19"/>
      <c r="M47" s="27" t="s">
        <v>7</v>
      </c>
      <c r="N47" s="25"/>
    </row>
    <row r="48" ht="15.75" customHeight="1">
      <c r="A48" s="25"/>
      <c r="B48" s="21" t="b">
        <v>1</v>
      </c>
      <c r="C48" s="22">
        <v>1.0</v>
      </c>
      <c r="D48" s="23" t="s">
        <v>197</v>
      </c>
      <c r="E48" s="18"/>
      <c r="F48" s="18"/>
      <c r="G48" s="18"/>
      <c r="H48" s="19"/>
      <c r="I48" s="24" t="s">
        <v>198</v>
      </c>
      <c r="J48" s="18"/>
      <c r="K48" s="18"/>
      <c r="L48" s="19"/>
      <c r="M48" s="22" t="str">
        <f t="shared" ref="M48:M52" si="5">IF(B48=TRUE,"Público Criado","Público Pendente")</f>
        <v>Público Criado</v>
      </c>
      <c r="N48" s="25"/>
    </row>
    <row r="49" ht="15.75" customHeight="1">
      <c r="A49" s="25"/>
      <c r="B49" s="21" t="b">
        <v>1</v>
      </c>
      <c r="C49" s="22">
        <v>2.0</v>
      </c>
      <c r="D49" s="23" t="s">
        <v>200</v>
      </c>
      <c r="E49" s="18"/>
      <c r="F49" s="18"/>
      <c r="G49" s="18"/>
      <c r="H49" s="19"/>
      <c r="I49" s="24" t="s">
        <v>202</v>
      </c>
      <c r="J49" s="18"/>
      <c r="K49" s="18"/>
      <c r="L49" s="19"/>
      <c r="M49" s="22" t="str">
        <f t="shared" si="5"/>
        <v>Público Criado</v>
      </c>
      <c r="N49" s="25"/>
    </row>
    <row r="50" ht="15.75" customHeight="1">
      <c r="A50" s="25"/>
      <c r="B50" s="21" t="b">
        <v>1</v>
      </c>
      <c r="C50" s="22">
        <v>3.0</v>
      </c>
      <c r="D50" s="23" t="s">
        <v>203</v>
      </c>
      <c r="E50" s="18"/>
      <c r="F50" s="18"/>
      <c r="G50" s="18"/>
      <c r="H50" s="19"/>
      <c r="I50" s="24" t="s">
        <v>204</v>
      </c>
      <c r="J50" s="18"/>
      <c r="K50" s="18"/>
      <c r="L50" s="19"/>
      <c r="M50" s="22" t="str">
        <f t="shared" si="5"/>
        <v>Público Criado</v>
      </c>
      <c r="N50" s="25"/>
    </row>
    <row r="51" ht="15.75" customHeight="1">
      <c r="A51" s="25"/>
      <c r="B51" s="21" t="b">
        <v>1</v>
      </c>
      <c r="C51" s="22">
        <v>4.0</v>
      </c>
      <c r="D51" s="23" t="s">
        <v>205</v>
      </c>
      <c r="E51" s="18"/>
      <c r="F51" s="18"/>
      <c r="G51" s="18"/>
      <c r="H51" s="19"/>
      <c r="I51" s="24" t="s">
        <v>206</v>
      </c>
      <c r="J51" s="18"/>
      <c r="K51" s="18"/>
      <c r="L51" s="19"/>
      <c r="M51" s="22" t="str">
        <f t="shared" si="5"/>
        <v>Público Criado</v>
      </c>
      <c r="N51" s="25"/>
    </row>
    <row r="52" ht="15.75" customHeight="1">
      <c r="A52" s="25"/>
      <c r="B52" s="21" t="b">
        <v>1</v>
      </c>
      <c r="C52" s="22">
        <v>5.0</v>
      </c>
      <c r="D52" s="23" t="s">
        <v>207</v>
      </c>
      <c r="E52" s="18"/>
      <c r="F52" s="18"/>
      <c r="G52" s="18"/>
      <c r="H52" s="19"/>
      <c r="I52" s="24" t="s">
        <v>208</v>
      </c>
      <c r="J52" s="18"/>
      <c r="K52" s="18"/>
      <c r="L52" s="19"/>
      <c r="M52" s="22" t="str">
        <f t="shared" si="5"/>
        <v>Público Criado</v>
      </c>
      <c r="N52" s="25"/>
    </row>
    <row r="53" ht="15.75" customHeight="1">
      <c r="A53" s="25"/>
      <c r="B53" s="2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5"/>
    </row>
    <row r="54" ht="15.75" customHeight="1">
      <c r="A54" s="25"/>
      <c r="B54" s="21" t="b">
        <v>0</v>
      </c>
      <c r="C54" s="22">
        <v>1.0</v>
      </c>
      <c r="D54" s="23" t="s">
        <v>209</v>
      </c>
      <c r="E54" s="18"/>
      <c r="F54" s="18"/>
      <c r="G54" s="18"/>
      <c r="H54" s="19"/>
      <c r="I54" s="24" t="s">
        <v>210</v>
      </c>
      <c r="J54" s="18"/>
      <c r="K54" s="18"/>
      <c r="L54" s="19"/>
      <c r="M54" s="22" t="str">
        <f t="shared" ref="M54:M59" si="6">IF(B54=TRUE,"Público Criado","Público Pendente")</f>
        <v>Público Pendente</v>
      </c>
      <c r="N54" s="25"/>
    </row>
    <row r="55" ht="15.75" customHeight="1">
      <c r="A55" s="25"/>
      <c r="B55" s="21" t="b">
        <v>0</v>
      </c>
      <c r="C55" s="22">
        <v>2.0</v>
      </c>
      <c r="D55" s="23" t="s">
        <v>211</v>
      </c>
      <c r="E55" s="18"/>
      <c r="F55" s="18"/>
      <c r="G55" s="18"/>
      <c r="H55" s="19"/>
      <c r="I55" s="24" t="s">
        <v>212</v>
      </c>
      <c r="J55" s="18"/>
      <c r="K55" s="18"/>
      <c r="L55" s="19"/>
      <c r="M55" s="22" t="str">
        <f t="shared" si="6"/>
        <v>Público Pendente</v>
      </c>
      <c r="N55" s="25"/>
    </row>
    <row r="56" ht="15.75" customHeight="1">
      <c r="A56" s="25"/>
      <c r="B56" s="21" t="b">
        <v>0</v>
      </c>
      <c r="C56" s="22">
        <v>3.0</v>
      </c>
      <c r="D56" s="23" t="s">
        <v>213</v>
      </c>
      <c r="E56" s="18"/>
      <c r="F56" s="18"/>
      <c r="G56" s="18"/>
      <c r="H56" s="19"/>
      <c r="I56" s="24" t="s">
        <v>214</v>
      </c>
      <c r="J56" s="18"/>
      <c r="K56" s="18"/>
      <c r="L56" s="19"/>
      <c r="M56" s="22" t="str">
        <f t="shared" si="6"/>
        <v>Público Pendente</v>
      </c>
      <c r="N56" s="25"/>
    </row>
    <row r="57" ht="15.75" customHeight="1">
      <c r="A57" s="25"/>
      <c r="B57" s="21" t="b">
        <v>0</v>
      </c>
      <c r="C57" s="22">
        <v>4.0</v>
      </c>
      <c r="D57" s="23" t="s">
        <v>215</v>
      </c>
      <c r="E57" s="18"/>
      <c r="F57" s="18"/>
      <c r="G57" s="18"/>
      <c r="H57" s="19"/>
      <c r="I57" s="24" t="s">
        <v>216</v>
      </c>
      <c r="J57" s="18"/>
      <c r="K57" s="18"/>
      <c r="L57" s="19"/>
      <c r="M57" s="22" t="str">
        <f t="shared" si="6"/>
        <v>Público Pendente</v>
      </c>
      <c r="N57" s="25"/>
    </row>
    <row r="58" ht="15.75" customHeight="1">
      <c r="A58" s="25"/>
      <c r="B58" s="21" t="b">
        <v>0</v>
      </c>
      <c r="C58" s="22">
        <v>5.0</v>
      </c>
      <c r="D58" s="23" t="s">
        <v>217</v>
      </c>
      <c r="E58" s="18"/>
      <c r="F58" s="18"/>
      <c r="G58" s="18"/>
      <c r="H58" s="19"/>
      <c r="I58" s="24" t="s">
        <v>218</v>
      </c>
      <c r="J58" s="18"/>
      <c r="K58" s="18"/>
      <c r="L58" s="19"/>
      <c r="M58" s="22" t="str">
        <f t="shared" si="6"/>
        <v>Público Pendente</v>
      </c>
      <c r="N58" s="25"/>
    </row>
    <row r="59" ht="15.75" customHeight="1">
      <c r="A59" s="25"/>
      <c r="B59" s="21" t="b">
        <v>0</v>
      </c>
      <c r="C59" s="22">
        <v>6.0</v>
      </c>
      <c r="D59" s="23" t="s">
        <v>219</v>
      </c>
      <c r="E59" s="18"/>
      <c r="F59" s="18"/>
      <c r="G59" s="18"/>
      <c r="H59" s="19"/>
      <c r="I59" s="24" t="s">
        <v>220</v>
      </c>
      <c r="J59" s="18"/>
      <c r="K59" s="18"/>
      <c r="L59" s="19"/>
      <c r="M59" s="22" t="str">
        <f t="shared" si="6"/>
        <v>Público Pendente</v>
      </c>
      <c r="N59" s="25"/>
    </row>
    <row r="60" ht="15.75" customHeight="1">
      <c r="A60" s="25"/>
      <c r="B60" s="2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5"/>
    </row>
    <row r="61" ht="15.75" customHeight="1">
      <c r="A61" s="25"/>
      <c r="B61" s="21" t="b">
        <v>0</v>
      </c>
      <c r="C61" s="22">
        <v>1.0</v>
      </c>
      <c r="D61" s="23" t="s">
        <v>221</v>
      </c>
      <c r="E61" s="18"/>
      <c r="F61" s="18"/>
      <c r="G61" s="18"/>
      <c r="H61" s="19"/>
      <c r="I61" s="24" t="s">
        <v>222</v>
      </c>
      <c r="J61" s="18"/>
      <c r="K61" s="18"/>
      <c r="L61" s="19"/>
      <c r="M61" s="22" t="str">
        <f t="shared" ref="M61:M66" si="7">IF(B61=TRUE,"Público Criado","Público Pendente")</f>
        <v>Público Pendente</v>
      </c>
      <c r="N61" s="25"/>
    </row>
    <row r="62" ht="15.75" customHeight="1">
      <c r="A62" s="25"/>
      <c r="B62" s="21" t="b">
        <v>0</v>
      </c>
      <c r="C62" s="22">
        <v>2.0</v>
      </c>
      <c r="D62" s="23" t="s">
        <v>223</v>
      </c>
      <c r="E62" s="18"/>
      <c r="F62" s="18"/>
      <c r="G62" s="18"/>
      <c r="H62" s="19"/>
      <c r="I62" s="24" t="s">
        <v>224</v>
      </c>
      <c r="J62" s="18"/>
      <c r="K62" s="18"/>
      <c r="L62" s="19"/>
      <c r="M62" s="22" t="str">
        <f t="shared" si="7"/>
        <v>Público Pendente</v>
      </c>
      <c r="N62" s="25"/>
    </row>
    <row r="63" ht="15.75" customHeight="1">
      <c r="A63" s="25"/>
      <c r="B63" s="21" t="b">
        <v>0</v>
      </c>
      <c r="C63" s="22">
        <v>3.0</v>
      </c>
      <c r="D63" s="23" t="s">
        <v>225</v>
      </c>
      <c r="E63" s="18"/>
      <c r="F63" s="18"/>
      <c r="G63" s="18"/>
      <c r="H63" s="19"/>
      <c r="I63" s="24" t="s">
        <v>226</v>
      </c>
      <c r="J63" s="18"/>
      <c r="K63" s="18"/>
      <c r="L63" s="19"/>
      <c r="M63" s="22" t="str">
        <f t="shared" si="7"/>
        <v>Público Pendente</v>
      </c>
      <c r="N63" s="25"/>
    </row>
    <row r="64" ht="15.75" customHeight="1">
      <c r="A64" s="25"/>
      <c r="B64" s="21" t="b">
        <v>0</v>
      </c>
      <c r="C64" s="22">
        <v>4.0</v>
      </c>
      <c r="D64" s="23" t="s">
        <v>227</v>
      </c>
      <c r="E64" s="18"/>
      <c r="F64" s="18"/>
      <c r="G64" s="18"/>
      <c r="H64" s="19"/>
      <c r="I64" s="24" t="s">
        <v>228</v>
      </c>
      <c r="J64" s="18"/>
      <c r="K64" s="18"/>
      <c r="L64" s="19"/>
      <c r="M64" s="22" t="str">
        <f t="shared" si="7"/>
        <v>Público Pendente</v>
      </c>
      <c r="N64" s="25"/>
    </row>
    <row r="65" ht="15.75" customHeight="1">
      <c r="A65" s="25"/>
      <c r="B65" s="21" t="b">
        <v>0</v>
      </c>
      <c r="C65" s="22">
        <v>5.0</v>
      </c>
      <c r="D65" s="23" t="s">
        <v>229</v>
      </c>
      <c r="E65" s="18"/>
      <c r="F65" s="18"/>
      <c r="G65" s="18"/>
      <c r="H65" s="19"/>
      <c r="I65" s="24" t="s">
        <v>230</v>
      </c>
      <c r="J65" s="18"/>
      <c r="K65" s="18"/>
      <c r="L65" s="19"/>
      <c r="M65" s="22" t="str">
        <f t="shared" si="7"/>
        <v>Público Pendente</v>
      </c>
      <c r="N65" s="25"/>
    </row>
    <row r="66" ht="15.75" customHeight="1">
      <c r="A66" s="25"/>
      <c r="B66" s="21" t="b">
        <v>0</v>
      </c>
      <c r="C66" s="22">
        <v>6.0</v>
      </c>
      <c r="D66" s="23" t="s">
        <v>231</v>
      </c>
      <c r="E66" s="18"/>
      <c r="F66" s="18"/>
      <c r="G66" s="18"/>
      <c r="H66" s="19"/>
      <c r="I66" s="24" t="s">
        <v>232</v>
      </c>
      <c r="J66" s="18"/>
      <c r="K66" s="18"/>
      <c r="L66" s="19"/>
      <c r="M66" s="22" t="str">
        <f t="shared" si="7"/>
        <v>Público Pendente</v>
      </c>
      <c r="N66" s="25"/>
    </row>
    <row r="67" ht="15.75" customHeight="1">
      <c r="A67" s="25"/>
      <c r="C67" s="14"/>
      <c r="N67" s="25"/>
    </row>
    <row r="68" ht="15.75" customHeight="1">
      <c r="A68" s="25"/>
      <c r="C68" s="14"/>
      <c r="N68" s="25"/>
    </row>
    <row r="69" ht="15.75" customHeight="1">
      <c r="A69" s="30"/>
      <c r="B69" s="31" t="s">
        <v>233</v>
      </c>
      <c r="N69" s="30"/>
    </row>
    <row r="70" ht="15.75" customHeight="1">
      <c r="A70" s="30"/>
      <c r="N70" s="30"/>
    </row>
    <row r="71" ht="15.75" customHeight="1">
      <c r="A71" s="30"/>
      <c r="N71" s="30"/>
    </row>
    <row r="72" ht="15.75" customHeight="1">
      <c r="A72" s="30"/>
      <c r="C72" s="14"/>
      <c r="N72" s="30"/>
    </row>
    <row r="73" ht="15.75" customHeight="1">
      <c r="A73" s="30"/>
      <c r="B73" s="32"/>
      <c r="C73" s="32" t="s">
        <v>4</v>
      </c>
      <c r="D73" s="33" t="s">
        <v>5</v>
      </c>
      <c r="E73" s="18"/>
      <c r="F73" s="18"/>
      <c r="G73" s="18"/>
      <c r="H73" s="19"/>
      <c r="I73" s="34" t="s">
        <v>6</v>
      </c>
      <c r="J73" s="18"/>
      <c r="K73" s="18"/>
      <c r="L73" s="19"/>
      <c r="M73" s="32" t="s">
        <v>7</v>
      </c>
      <c r="N73" s="30"/>
    </row>
    <row r="74" ht="15.75" customHeight="1">
      <c r="A74" s="30"/>
      <c r="B74" s="21" t="b">
        <v>0</v>
      </c>
      <c r="C74" s="22">
        <v>1.0</v>
      </c>
      <c r="D74" s="23" t="s">
        <v>235</v>
      </c>
      <c r="E74" s="18"/>
      <c r="F74" s="18"/>
      <c r="G74" s="18"/>
      <c r="H74" s="19"/>
      <c r="I74" s="24" t="s">
        <v>236</v>
      </c>
      <c r="J74" s="18"/>
      <c r="K74" s="18"/>
      <c r="L74" s="19"/>
      <c r="M74" s="22" t="str">
        <f t="shared" ref="M74:M77" si="8">IF(B74=TRUE,"Público Criado","Público Pendente")</f>
        <v>Público Pendente</v>
      </c>
      <c r="N74" s="30"/>
    </row>
    <row r="75" ht="15.75" customHeight="1">
      <c r="A75" s="30"/>
      <c r="B75" s="21" t="b">
        <v>0</v>
      </c>
      <c r="C75" s="22">
        <v>2.0</v>
      </c>
      <c r="D75" s="23" t="s">
        <v>238</v>
      </c>
      <c r="E75" s="18"/>
      <c r="F75" s="18"/>
      <c r="G75" s="18"/>
      <c r="H75" s="19"/>
      <c r="I75" s="24" t="s">
        <v>239</v>
      </c>
      <c r="J75" s="18"/>
      <c r="K75" s="18"/>
      <c r="L75" s="19"/>
      <c r="M75" s="22" t="str">
        <f t="shared" si="8"/>
        <v>Público Pendente</v>
      </c>
      <c r="N75" s="30"/>
    </row>
    <row r="76" ht="15.75" customHeight="1">
      <c r="A76" s="30"/>
      <c r="B76" s="21" t="b">
        <v>0</v>
      </c>
      <c r="C76" s="22">
        <v>3.0</v>
      </c>
      <c r="D76" s="23" t="s">
        <v>240</v>
      </c>
      <c r="E76" s="18"/>
      <c r="F76" s="18"/>
      <c r="G76" s="18"/>
      <c r="H76" s="19"/>
      <c r="I76" s="24" t="s">
        <v>241</v>
      </c>
      <c r="J76" s="18"/>
      <c r="K76" s="18"/>
      <c r="L76" s="19"/>
      <c r="M76" s="22" t="str">
        <f t="shared" si="8"/>
        <v>Público Pendente</v>
      </c>
      <c r="N76" s="30"/>
    </row>
    <row r="77" ht="15.75" customHeight="1">
      <c r="A77" s="30"/>
      <c r="B77" s="21" t="b">
        <v>0</v>
      </c>
      <c r="C77" s="22">
        <v>4.0</v>
      </c>
      <c r="D77" s="23" t="s">
        <v>244</v>
      </c>
      <c r="E77" s="18"/>
      <c r="F77" s="18"/>
      <c r="G77" s="18"/>
      <c r="H77" s="19"/>
      <c r="I77" s="24" t="s">
        <v>245</v>
      </c>
      <c r="J77" s="18"/>
      <c r="K77" s="18"/>
      <c r="L77" s="19"/>
      <c r="M77" s="22" t="str">
        <f t="shared" si="8"/>
        <v>Público Pendente</v>
      </c>
      <c r="N77" s="30"/>
    </row>
    <row r="78" ht="15.75" customHeight="1">
      <c r="A78" s="30"/>
      <c r="B78" s="23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30"/>
    </row>
    <row r="79" ht="15.75" customHeight="1">
      <c r="A79" s="30"/>
      <c r="B79" s="21" t="b">
        <v>0</v>
      </c>
      <c r="C79" s="22">
        <v>1.0</v>
      </c>
      <c r="D79" s="23" t="s">
        <v>248</v>
      </c>
      <c r="E79" s="18"/>
      <c r="F79" s="18"/>
      <c r="G79" s="18"/>
      <c r="H79" s="19"/>
      <c r="I79" s="24" t="s">
        <v>250</v>
      </c>
      <c r="J79" s="18"/>
      <c r="K79" s="18"/>
      <c r="L79" s="19"/>
      <c r="M79" s="22" t="str">
        <f t="shared" ref="M79:M84" si="9">IF(B79=TRUE,"Público Criado","Público Pendente")</f>
        <v>Público Pendente</v>
      </c>
      <c r="N79" s="30"/>
    </row>
    <row r="80" ht="15.75" customHeight="1">
      <c r="A80" s="30"/>
      <c r="B80" s="21" t="b">
        <v>0</v>
      </c>
      <c r="C80" s="22">
        <v>2.0</v>
      </c>
      <c r="D80" s="23" t="s">
        <v>253</v>
      </c>
      <c r="E80" s="18"/>
      <c r="F80" s="18"/>
      <c r="G80" s="18"/>
      <c r="H80" s="19"/>
      <c r="I80" s="24" t="s">
        <v>254</v>
      </c>
      <c r="J80" s="18"/>
      <c r="K80" s="18"/>
      <c r="L80" s="19"/>
      <c r="M80" s="22" t="str">
        <f t="shared" si="9"/>
        <v>Público Pendente</v>
      </c>
      <c r="N80" s="30"/>
    </row>
    <row r="81" ht="15.75" customHeight="1">
      <c r="A81" s="30"/>
      <c r="B81" s="21" t="b">
        <v>0</v>
      </c>
      <c r="C81" s="22">
        <v>3.0</v>
      </c>
      <c r="D81" s="23" t="s">
        <v>256</v>
      </c>
      <c r="E81" s="18"/>
      <c r="F81" s="18"/>
      <c r="G81" s="18"/>
      <c r="H81" s="19"/>
      <c r="I81" s="24" t="s">
        <v>258</v>
      </c>
      <c r="J81" s="18"/>
      <c r="K81" s="18"/>
      <c r="L81" s="19"/>
      <c r="M81" s="22" t="str">
        <f t="shared" si="9"/>
        <v>Público Pendente</v>
      </c>
      <c r="N81" s="30"/>
    </row>
    <row r="82" ht="15.75" customHeight="1">
      <c r="A82" s="30"/>
      <c r="B82" s="21" t="b">
        <v>0</v>
      </c>
      <c r="C82" s="22">
        <v>4.0</v>
      </c>
      <c r="D82" s="23" t="s">
        <v>261</v>
      </c>
      <c r="E82" s="18"/>
      <c r="F82" s="18"/>
      <c r="G82" s="18"/>
      <c r="H82" s="19"/>
      <c r="I82" s="24" t="s">
        <v>265</v>
      </c>
      <c r="J82" s="18"/>
      <c r="K82" s="18"/>
      <c r="L82" s="19"/>
      <c r="M82" s="22" t="str">
        <f t="shared" si="9"/>
        <v>Público Pendente</v>
      </c>
      <c r="N82" s="30"/>
    </row>
    <row r="83" ht="15.75" customHeight="1">
      <c r="A83" s="30"/>
      <c r="B83" s="21" t="b">
        <v>0</v>
      </c>
      <c r="C83" s="22">
        <v>5.0</v>
      </c>
      <c r="D83" s="23" t="s">
        <v>266</v>
      </c>
      <c r="E83" s="18"/>
      <c r="F83" s="18"/>
      <c r="G83" s="18"/>
      <c r="H83" s="19"/>
      <c r="I83" s="24" t="s">
        <v>267</v>
      </c>
      <c r="J83" s="18"/>
      <c r="K83" s="18"/>
      <c r="L83" s="19"/>
      <c r="M83" s="22" t="str">
        <f t="shared" si="9"/>
        <v>Público Pendente</v>
      </c>
      <c r="N83" s="30"/>
    </row>
    <row r="84" ht="15.75" customHeight="1">
      <c r="A84" s="30"/>
      <c r="B84" s="21" t="b">
        <v>0</v>
      </c>
      <c r="C84" s="22">
        <v>6.0</v>
      </c>
      <c r="D84" s="23" t="s">
        <v>270</v>
      </c>
      <c r="E84" s="18"/>
      <c r="F84" s="18"/>
      <c r="G84" s="18"/>
      <c r="H84" s="19"/>
      <c r="I84" s="24" t="s">
        <v>271</v>
      </c>
      <c r="J84" s="18"/>
      <c r="K84" s="18"/>
      <c r="L84" s="19"/>
      <c r="M84" s="22" t="str">
        <f t="shared" si="9"/>
        <v>Público Pendente</v>
      </c>
      <c r="N84" s="30"/>
    </row>
    <row r="85" ht="15.75" customHeight="1">
      <c r="A85" s="30"/>
      <c r="B85" s="23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30"/>
    </row>
    <row r="86" ht="15.75" customHeight="1">
      <c r="A86" s="30"/>
      <c r="B86" s="21" t="b">
        <v>0</v>
      </c>
      <c r="C86" s="22">
        <v>1.0</v>
      </c>
      <c r="D86" s="23" t="s">
        <v>276</v>
      </c>
      <c r="E86" s="18"/>
      <c r="F86" s="18"/>
      <c r="G86" s="18"/>
      <c r="H86" s="19"/>
      <c r="I86" s="24" t="s">
        <v>277</v>
      </c>
      <c r="J86" s="18"/>
      <c r="K86" s="18"/>
      <c r="L86" s="19"/>
      <c r="M86" s="22" t="str">
        <f t="shared" ref="M86:M91" si="10">IF(B86=TRUE,"Público Criado","Público Pendente")</f>
        <v>Público Pendente</v>
      </c>
      <c r="N86" s="30"/>
    </row>
    <row r="87" ht="15.75" customHeight="1">
      <c r="A87" s="30"/>
      <c r="B87" s="21" t="b">
        <v>0</v>
      </c>
      <c r="C87" s="22">
        <v>2.0</v>
      </c>
      <c r="D87" s="23" t="s">
        <v>278</v>
      </c>
      <c r="E87" s="18"/>
      <c r="F87" s="18"/>
      <c r="G87" s="18"/>
      <c r="H87" s="19"/>
      <c r="I87" s="24" t="s">
        <v>279</v>
      </c>
      <c r="J87" s="18"/>
      <c r="K87" s="18"/>
      <c r="L87" s="19"/>
      <c r="M87" s="22" t="str">
        <f t="shared" si="10"/>
        <v>Público Pendente</v>
      </c>
      <c r="N87" s="30"/>
    </row>
    <row r="88" ht="15.75" customHeight="1">
      <c r="A88" s="30"/>
      <c r="B88" s="21" t="b">
        <v>0</v>
      </c>
      <c r="C88" s="22">
        <v>3.0</v>
      </c>
      <c r="D88" s="23" t="s">
        <v>280</v>
      </c>
      <c r="E88" s="18"/>
      <c r="F88" s="18"/>
      <c r="G88" s="18"/>
      <c r="H88" s="19"/>
      <c r="I88" s="24" t="s">
        <v>281</v>
      </c>
      <c r="J88" s="18"/>
      <c r="K88" s="18"/>
      <c r="L88" s="19"/>
      <c r="M88" s="22" t="str">
        <f t="shared" si="10"/>
        <v>Público Pendente</v>
      </c>
      <c r="N88" s="30"/>
    </row>
    <row r="89" ht="15.75" customHeight="1">
      <c r="A89" s="30"/>
      <c r="B89" s="21" t="b">
        <v>0</v>
      </c>
      <c r="C89" s="22">
        <v>4.0</v>
      </c>
      <c r="D89" s="23" t="s">
        <v>282</v>
      </c>
      <c r="E89" s="18"/>
      <c r="F89" s="18"/>
      <c r="G89" s="18"/>
      <c r="H89" s="19"/>
      <c r="I89" s="24" t="s">
        <v>283</v>
      </c>
      <c r="J89" s="18"/>
      <c r="K89" s="18"/>
      <c r="L89" s="19"/>
      <c r="M89" s="22" t="str">
        <f t="shared" si="10"/>
        <v>Público Pendente</v>
      </c>
      <c r="N89" s="30"/>
    </row>
    <row r="90" ht="15.75" customHeight="1">
      <c r="A90" s="30"/>
      <c r="B90" s="21" t="b">
        <v>0</v>
      </c>
      <c r="C90" s="22">
        <v>5.0</v>
      </c>
      <c r="D90" s="23" t="s">
        <v>284</v>
      </c>
      <c r="E90" s="18"/>
      <c r="F90" s="18"/>
      <c r="G90" s="18"/>
      <c r="H90" s="19"/>
      <c r="I90" s="24" t="s">
        <v>285</v>
      </c>
      <c r="J90" s="18"/>
      <c r="K90" s="18"/>
      <c r="L90" s="19"/>
      <c r="M90" s="22" t="str">
        <f t="shared" si="10"/>
        <v>Público Pendente</v>
      </c>
      <c r="N90" s="30"/>
    </row>
    <row r="91" ht="15.75" customHeight="1">
      <c r="A91" s="30"/>
      <c r="B91" s="21" t="b">
        <v>0</v>
      </c>
      <c r="C91" s="22">
        <v>6.0</v>
      </c>
      <c r="D91" s="23" t="s">
        <v>286</v>
      </c>
      <c r="E91" s="18"/>
      <c r="F91" s="18"/>
      <c r="G91" s="18"/>
      <c r="H91" s="19"/>
      <c r="I91" s="24" t="s">
        <v>287</v>
      </c>
      <c r="J91" s="18"/>
      <c r="K91" s="18"/>
      <c r="L91" s="19"/>
      <c r="M91" s="22" t="str">
        <f t="shared" si="10"/>
        <v>Público Pendente</v>
      </c>
      <c r="N91" s="30"/>
    </row>
    <row r="92" ht="15.75" customHeight="1">
      <c r="A92" s="30"/>
      <c r="B92" s="23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30"/>
    </row>
    <row r="93" ht="15.75" customHeight="1">
      <c r="A93" s="30"/>
      <c r="B93" s="21" t="b">
        <v>0</v>
      </c>
      <c r="C93" s="22">
        <v>1.0</v>
      </c>
      <c r="D93" s="23" t="s">
        <v>288</v>
      </c>
      <c r="E93" s="18"/>
      <c r="F93" s="18"/>
      <c r="G93" s="18"/>
      <c r="H93" s="19"/>
      <c r="I93" s="24" t="s">
        <v>289</v>
      </c>
      <c r="J93" s="18"/>
      <c r="K93" s="18"/>
      <c r="L93" s="19"/>
      <c r="M93" s="22" t="str">
        <f t="shared" ref="M93:M98" si="11">IF(B93=TRUE,"Público Criado","Público Pendente")</f>
        <v>Público Pendente</v>
      </c>
      <c r="N93" s="30"/>
    </row>
    <row r="94" ht="15.75" customHeight="1">
      <c r="A94" s="30"/>
      <c r="B94" s="21" t="b">
        <v>0</v>
      </c>
      <c r="C94" s="22">
        <v>2.0</v>
      </c>
      <c r="D94" s="23" t="s">
        <v>290</v>
      </c>
      <c r="E94" s="18"/>
      <c r="F94" s="18"/>
      <c r="G94" s="18"/>
      <c r="H94" s="19"/>
      <c r="I94" s="24" t="s">
        <v>291</v>
      </c>
      <c r="J94" s="18"/>
      <c r="K94" s="18"/>
      <c r="L94" s="19"/>
      <c r="M94" s="22" t="str">
        <f t="shared" si="11"/>
        <v>Público Pendente</v>
      </c>
      <c r="N94" s="30"/>
    </row>
    <row r="95" ht="15.75" customHeight="1">
      <c r="A95" s="30"/>
      <c r="B95" s="21" t="b">
        <v>0</v>
      </c>
      <c r="C95" s="22">
        <v>3.0</v>
      </c>
      <c r="D95" s="23" t="s">
        <v>292</v>
      </c>
      <c r="E95" s="18"/>
      <c r="F95" s="18"/>
      <c r="G95" s="18"/>
      <c r="H95" s="19"/>
      <c r="I95" s="24" t="s">
        <v>293</v>
      </c>
      <c r="J95" s="18"/>
      <c r="K95" s="18"/>
      <c r="L95" s="19"/>
      <c r="M95" s="22" t="str">
        <f t="shared" si="11"/>
        <v>Público Pendente</v>
      </c>
      <c r="N95" s="30"/>
    </row>
    <row r="96" ht="15.75" customHeight="1">
      <c r="A96" s="30"/>
      <c r="B96" s="21" t="b">
        <v>0</v>
      </c>
      <c r="C96" s="22">
        <v>4.0</v>
      </c>
      <c r="D96" s="23" t="s">
        <v>294</v>
      </c>
      <c r="E96" s="18"/>
      <c r="F96" s="18"/>
      <c r="G96" s="18"/>
      <c r="H96" s="19"/>
      <c r="I96" s="24" t="s">
        <v>295</v>
      </c>
      <c r="J96" s="18"/>
      <c r="K96" s="18"/>
      <c r="L96" s="19"/>
      <c r="M96" s="22" t="str">
        <f t="shared" si="11"/>
        <v>Público Pendente</v>
      </c>
      <c r="N96" s="30"/>
    </row>
    <row r="97" ht="15.75" customHeight="1">
      <c r="A97" s="30"/>
      <c r="B97" s="21" t="b">
        <v>0</v>
      </c>
      <c r="C97" s="22">
        <v>5.0</v>
      </c>
      <c r="D97" s="23" t="s">
        <v>296</v>
      </c>
      <c r="E97" s="18"/>
      <c r="F97" s="18"/>
      <c r="G97" s="18"/>
      <c r="H97" s="19"/>
      <c r="I97" s="24" t="s">
        <v>297</v>
      </c>
      <c r="J97" s="18"/>
      <c r="K97" s="18"/>
      <c r="L97" s="19"/>
      <c r="M97" s="22" t="str">
        <f t="shared" si="11"/>
        <v>Público Pendente</v>
      </c>
      <c r="N97" s="30"/>
    </row>
    <row r="98" ht="15.75" customHeight="1">
      <c r="A98" s="30"/>
      <c r="B98" s="21" t="b">
        <v>0</v>
      </c>
      <c r="C98" s="22">
        <v>6.0</v>
      </c>
      <c r="D98" s="23" t="s">
        <v>298</v>
      </c>
      <c r="E98" s="18"/>
      <c r="F98" s="18"/>
      <c r="G98" s="18"/>
      <c r="H98" s="19"/>
      <c r="I98" s="24" t="s">
        <v>299</v>
      </c>
      <c r="J98" s="18"/>
      <c r="K98" s="18"/>
      <c r="L98" s="19"/>
      <c r="M98" s="22" t="str">
        <f t="shared" si="11"/>
        <v>Público Pendente</v>
      </c>
      <c r="N98" s="30"/>
    </row>
    <row r="99" ht="15.75" customHeight="1">
      <c r="A99" s="30"/>
      <c r="B99" s="23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30"/>
    </row>
    <row r="100" ht="15.75" customHeight="1">
      <c r="A100" s="30"/>
      <c r="B100" s="21" t="b">
        <v>0</v>
      </c>
      <c r="C100" s="22">
        <v>1.0</v>
      </c>
      <c r="D100" s="23" t="s">
        <v>301</v>
      </c>
      <c r="E100" s="18"/>
      <c r="F100" s="18"/>
      <c r="G100" s="18"/>
      <c r="H100" s="19"/>
      <c r="I100" s="24" t="s">
        <v>302</v>
      </c>
      <c r="J100" s="18"/>
      <c r="K100" s="18"/>
      <c r="L100" s="19"/>
      <c r="M100" s="22" t="str">
        <f t="shared" ref="M100:M105" si="12">IF(B100=TRUE,"Público Criado","Público Pendente")</f>
        <v>Público Pendente</v>
      </c>
      <c r="N100" s="30"/>
    </row>
    <row r="101" ht="15.75" customHeight="1">
      <c r="A101" s="30"/>
      <c r="B101" s="21" t="b">
        <v>0</v>
      </c>
      <c r="C101" s="22">
        <v>2.0</v>
      </c>
      <c r="D101" s="23" t="s">
        <v>304</v>
      </c>
      <c r="E101" s="18"/>
      <c r="F101" s="18"/>
      <c r="G101" s="18"/>
      <c r="H101" s="19"/>
      <c r="I101" s="24" t="s">
        <v>305</v>
      </c>
      <c r="J101" s="18"/>
      <c r="K101" s="18"/>
      <c r="L101" s="19"/>
      <c r="M101" s="22" t="str">
        <f t="shared" si="12"/>
        <v>Público Pendente</v>
      </c>
      <c r="N101" s="30"/>
    </row>
    <row r="102" ht="15.75" customHeight="1">
      <c r="A102" s="30"/>
      <c r="B102" s="21" t="b">
        <v>0</v>
      </c>
      <c r="C102" s="22">
        <v>3.0</v>
      </c>
      <c r="D102" s="23" t="s">
        <v>306</v>
      </c>
      <c r="E102" s="18"/>
      <c r="F102" s="18"/>
      <c r="G102" s="18"/>
      <c r="H102" s="19"/>
      <c r="I102" s="24" t="s">
        <v>308</v>
      </c>
      <c r="J102" s="18"/>
      <c r="K102" s="18"/>
      <c r="L102" s="19"/>
      <c r="M102" s="22" t="str">
        <f t="shared" si="12"/>
        <v>Público Pendente</v>
      </c>
      <c r="N102" s="30"/>
    </row>
    <row r="103" ht="15.75" customHeight="1">
      <c r="A103" s="30"/>
      <c r="B103" s="21" t="b">
        <v>0</v>
      </c>
      <c r="C103" s="22">
        <v>4.0</v>
      </c>
      <c r="D103" s="23" t="s">
        <v>311</v>
      </c>
      <c r="E103" s="18"/>
      <c r="F103" s="18"/>
      <c r="G103" s="18"/>
      <c r="H103" s="19"/>
      <c r="I103" s="24" t="s">
        <v>313</v>
      </c>
      <c r="J103" s="18"/>
      <c r="K103" s="18"/>
      <c r="L103" s="19"/>
      <c r="M103" s="22" t="str">
        <f t="shared" si="12"/>
        <v>Público Pendente</v>
      </c>
      <c r="N103" s="30"/>
    </row>
    <row r="104" ht="15.75" customHeight="1">
      <c r="A104" s="30"/>
      <c r="B104" s="21" t="b">
        <v>0</v>
      </c>
      <c r="C104" s="22">
        <v>5.0</v>
      </c>
      <c r="D104" s="23" t="s">
        <v>316</v>
      </c>
      <c r="E104" s="18"/>
      <c r="F104" s="18"/>
      <c r="G104" s="18"/>
      <c r="H104" s="19"/>
      <c r="I104" s="24" t="s">
        <v>319</v>
      </c>
      <c r="J104" s="18"/>
      <c r="K104" s="18"/>
      <c r="L104" s="19"/>
      <c r="M104" s="22" t="str">
        <f t="shared" si="12"/>
        <v>Público Pendente</v>
      </c>
      <c r="N104" s="30"/>
    </row>
    <row r="105" ht="15.75" customHeight="1">
      <c r="A105" s="30"/>
      <c r="B105" s="21" t="b">
        <v>0</v>
      </c>
      <c r="C105" s="22">
        <v>6.0</v>
      </c>
      <c r="D105" s="23" t="s">
        <v>322</v>
      </c>
      <c r="E105" s="18"/>
      <c r="F105" s="18"/>
      <c r="G105" s="18"/>
      <c r="H105" s="19"/>
      <c r="I105" s="24" t="s">
        <v>324</v>
      </c>
      <c r="J105" s="18"/>
      <c r="K105" s="18"/>
      <c r="L105" s="19"/>
      <c r="M105" s="22" t="str">
        <f t="shared" si="12"/>
        <v>Público Pendente</v>
      </c>
      <c r="N105" s="30"/>
    </row>
    <row r="106" ht="15.75" customHeight="1">
      <c r="A106" s="30"/>
      <c r="B106" s="23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30"/>
    </row>
    <row r="107" ht="15.75" customHeight="1">
      <c r="A107" s="30"/>
      <c r="B107" s="21" t="b">
        <v>0</v>
      </c>
      <c r="C107" s="22">
        <v>1.0</v>
      </c>
      <c r="D107" s="23" t="s">
        <v>330</v>
      </c>
      <c r="E107" s="18"/>
      <c r="F107" s="18"/>
      <c r="G107" s="18"/>
      <c r="H107" s="19"/>
      <c r="I107" s="24" t="s">
        <v>331</v>
      </c>
      <c r="J107" s="18"/>
      <c r="K107" s="18"/>
      <c r="L107" s="19"/>
      <c r="M107" s="22" t="str">
        <f t="shared" ref="M107:M112" si="13">IF(B107=TRUE,"Público Criado","Público Pendente")</f>
        <v>Público Pendente</v>
      </c>
      <c r="N107" s="30"/>
    </row>
    <row r="108" ht="15.75" customHeight="1">
      <c r="A108" s="30"/>
      <c r="B108" s="21" t="b">
        <v>0</v>
      </c>
      <c r="C108" s="22">
        <v>2.0</v>
      </c>
      <c r="D108" s="23" t="s">
        <v>333</v>
      </c>
      <c r="E108" s="18"/>
      <c r="F108" s="18"/>
      <c r="G108" s="18"/>
      <c r="H108" s="19"/>
      <c r="I108" s="24" t="s">
        <v>336</v>
      </c>
      <c r="J108" s="18"/>
      <c r="K108" s="18"/>
      <c r="L108" s="19"/>
      <c r="M108" s="22" t="str">
        <f t="shared" si="13"/>
        <v>Público Pendente</v>
      </c>
      <c r="N108" s="30"/>
    </row>
    <row r="109" ht="15.75" customHeight="1">
      <c r="A109" s="30"/>
      <c r="B109" s="21" t="b">
        <v>0</v>
      </c>
      <c r="C109" s="22">
        <v>3.0</v>
      </c>
      <c r="D109" s="23" t="s">
        <v>340</v>
      </c>
      <c r="E109" s="18"/>
      <c r="F109" s="18"/>
      <c r="G109" s="18"/>
      <c r="H109" s="19"/>
      <c r="I109" s="24" t="s">
        <v>342</v>
      </c>
      <c r="J109" s="18"/>
      <c r="K109" s="18"/>
      <c r="L109" s="19"/>
      <c r="M109" s="22" t="str">
        <f t="shared" si="13"/>
        <v>Público Pendente</v>
      </c>
      <c r="N109" s="30"/>
    </row>
    <row r="110" ht="15.75" customHeight="1">
      <c r="A110" s="30"/>
      <c r="B110" s="21" t="b">
        <v>0</v>
      </c>
      <c r="C110" s="22">
        <v>4.0</v>
      </c>
      <c r="D110" s="23" t="s">
        <v>346</v>
      </c>
      <c r="E110" s="18"/>
      <c r="F110" s="18"/>
      <c r="G110" s="18"/>
      <c r="H110" s="19"/>
      <c r="I110" s="24" t="s">
        <v>347</v>
      </c>
      <c r="J110" s="18"/>
      <c r="K110" s="18"/>
      <c r="L110" s="19"/>
      <c r="M110" s="22" t="str">
        <f t="shared" si="13"/>
        <v>Público Pendente</v>
      </c>
      <c r="N110" s="30"/>
    </row>
    <row r="111" ht="15.75" customHeight="1">
      <c r="A111" s="30"/>
      <c r="B111" s="21" t="b">
        <v>0</v>
      </c>
      <c r="C111" s="22">
        <v>5.0</v>
      </c>
      <c r="D111" s="23" t="s">
        <v>348</v>
      </c>
      <c r="E111" s="18"/>
      <c r="F111" s="18"/>
      <c r="G111" s="18"/>
      <c r="H111" s="19"/>
      <c r="I111" s="24" t="s">
        <v>351</v>
      </c>
      <c r="J111" s="18"/>
      <c r="K111" s="18"/>
      <c r="L111" s="19"/>
      <c r="M111" s="22" t="str">
        <f t="shared" si="13"/>
        <v>Público Pendente</v>
      </c>
      <c r="N111" s="30"/>
    </row>
    <row r="112" ht="15.75" customHeight="1">
      <c r="A112" s="30"/>
      <c r="B112" s="21" t="b">
        <v>0</v>
      </c>
      <c r="C112" s="22">
        <v>6.0</v>
      </c>
      <c r="D112" s="23" t="s">
        <v>353</v>
      </c>
      <c r="E112" s="18"/>
      <c r="F112" s="18"/>
      <c r="G112" s="18"/>
      <c r="H112" s="19"/>
      <c r="I112" s="24" t="s">
        <v>355</v>
      </c>
      <c r="J112" s="18"/>
      <c r="K112" s="18"/>
      <c r="L112" s="19"/>
      <c r="M112" s="22" t="str">
        <f t="shared" si="13"/>
        <v>Público Pendente</v>
      </c>
      <c r="N112" s="30"/>
    </row>
    <row r="113" ht="15.75" customHeight="1">
      <c r="A113" s="30"/>
      <c r="B113" s="23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30"/>
    </row>
    <row r="114" ht="15.75" customHeight="1">
      <c r="A114" s="30"/>
      <c r="B114" s="21" t="b">
        <v>0</v>
      </c>
      <c r="C114" s="22">
        <v>1.0</v>
      </c>
      <c r="D114" s="23" t="s">
        <v>360</v>
      </c>
      <c r="E114" s="18"/>
      <c r="F114" s="18"/>
      <c r="G114" s="18"/>
      <c r="H114" s="19"/>
      <c r="I114" s="24" t="s">
        <v>361</v>
      </c>
      <c r="J114" s="18"/>
      <c r="K114" s="18"/>
      <c r="L114" s="19"/>
      <c r="M114" s="22" t="str">
        <f t="shared" ref="M114:M119" si="14">IF(B114=TRUE,"Público Criado","Público Pendente")</f>
        <v>Público Pendente</v>
      </c>
      <c r="N114" s="30"/>
    </row>
    <row r="115" ht="15.75" customHeight="1">
      <c r="A115" s="30"/>
      <c r="B115" s="21" t="b">
        <v>0</v>
      </c>
      <c r="C115" s="22">
        <v>2.0</v>
      </c>
      <c r="D115" s="23" t="s">
        <v>364</v>
      </c>
      <c r="E115" s="18"/>
      <c r="F115" s="18"/>
      <c r="G115" s="18"/>
      <c r="H115" s="19"/>
      <c r="I115" s="24" t="s">
        <v>365</v>
      </c>
      <c r="J115" s="18"/>
      <c r="K115" s="18"/>
      <c r="L115" s="19"/>
      <c r="M115" s="22" t="str">
        <f t="shared" si="14"/>
        <v>Público Pendente</v>
      </c>
      <c r="N115" s="30"/>
    </row>
    <row r="116" ht="15.75" customHeight="1">
      <c r="A116" s="30"/>
      <c r="B116" s="21" t="b">
        <v>0</v>
      </c>
      <c r="C116" s="22">
        <v>3.0</v>
      </c>
      <c r="D116" s="23" t="s">
        <v>368</v>
      </c>
      <c r="E116" s="18"/>
      <c r="F116" s="18"/>
      <c r="G116" s="18"/>
      <c r="H116" s="19"/>
      <c r="I116" s="24" t="s">
        <v>370</v>
      </c>
      <c r="J116" s="18"/>
      <c r="K116" s="18"/>
      <c r="L116" s="19"/>
      <c r="M116" s="22" t="str">
        <f t="shared" si="14"/>
        <v>Público Pendente</v>
      </c>
      <c r="N116" s="30"/>
    </row>
    <row r="117" ht="15.75" customHeight="1">
      <c r="A117" s="30"/>
      <c r="B117" s="21" t="b">
        <v>0</v>
      </c>
      <c r="C117" s="22">
        <v>4.0</v>
      </c>
      <c r="D117" s="23" t="s">
        <v>373</v>
      </c>
      <c r="E117" s="18"/>
      <c r="F117" s="18"/>
      <c r="G117" s="18"/>
      <c r="H117" s="19"/>
      <c r="I117" s="24" t="s">
        <v>375</v>
      </c>
      <c r="J117" s="18"/>
      <c r="K117" s="18"/>
      <c r="L117" s="19"/>
      <c r="M117" s="22" t="str">
        <f t="shared" si="14"/>
        <v>Público Pendente</v>
      </c>
      <c r="N117" s="30"/>
    </row>
    <row r="118" ht="15.75" customHeight="1">
      <c r="A118" s="30"/>
      <c r="B118" s="21" t="b">
        <v>0</v>
      </c>
      <c r="C118" s="22">
        <v>5.0</v>
      </c>
      <c r="D118" s="23" t="s">
        <v>378</v>
      </c>
      <c r="E118" s="18"/>
      <c r="F118" s="18"/>
      <c r="G118" s="18"/>
      <c r="H118" s="19"/>
      <c r="I118" s="24" t="s">
        <v>380</v>
      </c>
      <c r="J118" s="18"/>
      <c r="K118" s="18"/>
      <c r="L118" s="19"/>
      <c r="M118" s="22" t="str">
        <f t="shared" si="14"/>
        <v>Público Pendente</v>
      </c>
      <c r="N118" s="30"/>
    </row>
    <row r="119" ht="15.75" customHeight="1">
      <c r="A119" s="30"/>
      <c r="B119" s="21" t="b">
        <v>0</v>
      </c>
      <c r="C119" s="22">
        <v>6.0</v>
      </c>
      <c r="D119" s="23" t="s">
        <v>381</v>
      </c>
      <c r="E119" s="18"/>
      <c r="F119" s="18"/>
      <c r="G119" s="18"/>
      <c r="H119" s="19"/>
      <c r="I119" s="24" t="s">
        <v>384</v>
      </c>
      <c r="J119" s="18"/>
      <c r="K119" s="18"/>
      <c r="L119" s="19"/>
      <c r="M119" s="22" t="str">
        <f t="shared" si="14"/>
        <v>Público Pendente</v>
      </c>
      <c r="N119" s="30"/>
    </row>
    <row r="120" ht="15.75" customHeight="1">
      <c r="A120" s="30"/>
      <c r="B120" s="23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30"/>
    </row>
    <row r="121" ht="15.75" customHeight="1">
      <c r="A121" s="30"/>
      <c r="B121" s="21" t="b">
        <v>0</v>
      </c>
      <c r="C121" s="22">
        <v>1.0</v>
      </c>
      <c r="D121" s="23" t="s">
        <v>391</v>
      </c>
      <c r="E121" s="18"/>
      <c r="F121" s="18"/>
      <c r="G121" s="18"/>
      <c r="H121" s="19"/>
      <c r="I121" s="24" t="s">
        <v>393</v>
      </c>
      <c r="J121" s="18"/>
      <c r="K121" s="18"/>
      <c r="L121" s="19"/>
      <c r="M121" s="22" t="str">
        <f t="shared" ref="M121:M126" si="15">IF(B121=TRUE,"Público Criado","Público Pendente")</f>
        <v>Público Pendente</v>
      </c>
      <c r="N121" s="30"/>
    </row>
    <row r="122" ht="15.75" customHeight="1">
      <c r="A122" s="30"/>
      <c r="B122" s="21" t="b">
        <v>0</v>
      </c>
      <c r="C122" s="22">
        <v>2.0</v>
      </c>
      <c r="D122" s="23" t="s">
        <v>394</v>
      </c>
      <c r="E122" s="18"/>
      <c r="F122" s="18"/>
      <c r="G122" s="18"/>
      <c r="H122" s="19"/>
      <c r="I122" s="24" t="s">
        <v>395</v>
      </c>
      <c r="J122" s="18"/>
      <c r="K122" s="18"/>
      <c r="L122" s="19"/>
      <c r="M122" s="22" t="str">
        <f t="shared" si="15"/>
        <v>Público Pendente</v>
      </c>
      <c r="N122" s="30"/>
    </row>
    <row r="123" ht="15.75" customHeight="1">
      <c r="A123" s="30"/>
      <c r="B123" s="21" t="b">
        <v>0</v>
      </c>
      <c r="C123" s="22">
        <v>3.0</v>
      </c>
      <c r="D123" s="23" t="s">
        <v>398</v>
      </c>
      <c r="E123" s="18"/>
      <c r="F123" s="18"/>
      <c r="G123" s="18"/>
      <c r="H123" s="19"/>
      <c r="I123" s="24" t="s">
        <v>400</v>
      </c>
      <c r="J123" s="18"/>
      <c r="K123" s="18"/>
      <c r="L123" s="19"/>
      <c r="M123" s="22" t="str">
        <f t="shared" si="15"/>
        <v>Público Pendente</v>
      </c>
      <c r="N123" s="30"/>
    </row>
    <row r="124" ht="15.75" customHeight="1">
      <c r="A124" s="30"/>
      <c r="B124" s="21" t="b">
        <v>0</v>
      </c>
      <c r="C124" s="22">
        <v>4.0</v>
      </c>
      <c r="D124" s="23" t="s">
        <v>404</v>
      </c>
      <c r="E124" s="18"/>
      <c r="F124" s="18"/>
      <c r="G124" s="18"/>
      <c r="H124" s="19"/>
      <c r="I124" s="24" t="s">
        <v>405</v>
      </c>
      <c r="J124" s="18"/>
      <c r="K124" s="18"/>
      <c r="L124" s="19"/>
      <c r="M124" s="22" t="str">
        <f t="shared" si="15"/>
        <v>Público Pendente</v>
      </c>
      <c r="N124" s="30"/>
    </row>
    <row r="125" ht="15.75" customHeight="1">
      <c r="A125" s="30"/>
      <c r="B125" s="21" t="b">
        <v>0</v>
      </c>
      <c r="C125" s="22">
        <v>5.0</v>
      </c>
      <c r="D125" s="23" t="s">
        <v>409</v>
      </c>
      <c r="E125" s="18"/>
      <c r="F125" s="18"/>
      <c r="G125" s="18"/>
      <c r="H125" s="19"/>
      <c r="I125" s="24" t="s">
        <v>410</v>
      </c>
      <c r="J125" s="18"/>
      <c r="K125" s="18"/>
      <c r="L125" s="19"/>
      <c r="M125" s="22" t="str">
        <f t="shared" si="15"/>
        <v>Público Pendente</v>
      </c>
      <c r="N125" s="30"/>
    </row>
    <row r="126" ht="15.75" customHeight="1">
      <c r="A126" s="30"/>
      <c r="B126" s="21" t="b">
        <v>0</v>
      </c>
      <c r="C126" s="22">
        <v>6.0</v>
      </c>
      <c r="D126" s="23" t="s">
        <v>412</v>
      </c>
      <c r="E126" s="18"/>
      <c r="F126" s="18"/>
      <c r="G126" s="18"/>
      <c r="H126" s="19"/>
      <c r="I126" s="24" t="s">
        <v>414</v>
      </c>
      <c r="J126" s="18"/>
      <c r="K126" s="18"/>
      <c r="L126" s="19"/>
      <c r="M126" s="22" t="str">
        <f t="shared" si="15"/>
        <v>Público Pendente</v>
      </c>
      <c r="N126" s="30"/>
      <c r="O126" s="30"/>
      <c r="P126" s="21" t="b">
        <v>0</v>
      </c>
      <c r="Q126" s="22">
        <v>5.0</v>
      </c>
      <c r="R126" s="23" t="s">
        <v>409</v>
      </c>
      <c r="S126" s="18"/>
      <c r="T126" s="18"/>
      <c r="U126" s="18"/>
      <c r="V126" s="19"/>
      <c r="W126" s="24" t="s">
        <v>410</v>
      </c>
      <c r="X126" s="18"/>
      <c r="Y126" s="18"/>
      <c r="Z126" s="19"/>
      <c r="AA126" s="22" t="str">
        <f>IF(P126=TRUE,"Atividade Concluída","Pendente")</f>
        <v>Pendente</v>
      </c>
      <c r="AB126" s="30"/>
    </row>
    <row r="127" ht="15.75" customHeight="1">
      <c r="A127" s="30"/>
      <c r="C127" s="14"/>
      <c r="N127" s="30"/>
    </row>
    <row r="128" ht="15.75" customHeight="1">
      <c r="A128" s="30"/>
      <c r="C128" s="14"/>
      <c r="N128" s="30"/>
    </row>
    <row r="129" ht="15.75" customHeight="1">
      <c r="A129" s="43"/>
      <c r="B129" s="44" t="s">
        <v>424</v>
      </c>
      <c r="N129" s="43"/>
    </row>
    <row r="130" ht="15.75" customHeight="1">
      <c r="A130" s="43"/>
      <c r="N130" s="43"/>
    </row>
    <row r="131" ht="15.75" customHeight="1">
      <c r="A131" s="43"/>
      <c r="N131" s="43"/>
    </row>
    <row r="132" ht="15.75" customHeight="1">
      <c r="A132" s="43"/>
      <c r="C132" s="14"/>
      <c r="N132" s="43"/>
    </row>
    <row r="133" ht="15.75" customHeight="1">
      <c r="A133" s="43"/>
      <c r="B133" s="45"/>
      <c r="C133" s="45" t="s">
        <v>4</v>
      </c>
      <c r="D133" s="46" t="s">
        <v>5</v>
      </c>
      <c r="E133" s="18"/>
      <c r="F133" s="18"/>
      <c r="G133" s="18"/>
      <c r="H133" s="19"/>
      <c r="I133" s="47" t="s">
        <v>6</v>
      </c>
      <c r="J133" s="18"/>
      <c r="K133" s="18"/>
      <c r="L133" s="19"/>
      <c r="M133" s="45" t="s">
        <v>7</v>
      </c>
      <c r="N133" s="43"/>
    </row>
    <row r="134" ht="15.75" customHeight="1">
      <c r="A134" s="43"/>
      <c r="B134" s="21" t="b">
        <v>0</v>
      </c>
      <c r="C134" s="22">
        <v>1.0</v>
      </c>
      <c r="D134" s="23" t="s">
        <v>433</v>
      </c>
      <c r="E134" s="18"/>
      <c r="F134" s="18"/>
      <c r="G134" s="18"/>
      <c r="H134" s="19"/>
      <c r="I134" s="24" t="s">
        <v>437</v>
      </c>
      <c r="J134" s="18"/>
      <c r="K134" s="18"/>
      <c r="L134" s="19"/>
      <c r="M134" s="22" t="str">
        <f t="shared" ref="M134:M139" si="16">IF(B134=TRUE,"Público Criado","Público Pendente")</f>
        <v>Público Pendente</v>
      </c>
      <c r="N134" s="43"/>
    </row>
    <row r="135" ht="15.75" customHeight="1">
      <c r="A135" s="43"/>
      <c r="B135" s="21" t="b">
        <v>0</v>
      </c>
      <c r="C135" s="22">
        <v>2.0</v>
      </c>
      <c r="D135" s="23" t="s">
        <v>444</v>
      </c>
      <c r="E135" s="18"/>
      <c r="F135" s="18"/>
      <c r="G135" s="18"/>
      <c r="H135" s="19"/>
      <c r="I135" s="24" t="s">
        <v>447</v>
      </c>
      <c r="J135" s="18"/>
      <c r="K135" s="18"/>
      <c r="L135" s="19"/>
      <c r="M135" s="22" t="str">
        <f t="shared" si="16"/>
        <v>Público Pendente</v>
      </c>
      <c r="N135" s="43"/>
    </row>
    <row r="136" ht="15.75" customHeight="1">
      <c r="A136" s="43"/>
      <c r="B136" s="21" t="b">
        <v>0</v>
      </c>
      <c r="C136" s="22">
        <v>3.0</v>
      </c>
      <c r="D136" s="23" t="s">
        <v>453</v>
      </c>
      <c r="E136" s="18"/>
      <c r="F136" s="18"/>
      <c r="G136" s="18"/>
      <c r="H136" s="19"/>
      <c r="I136" s="24" t="s">
        <v>458</v>
      </c>
      <c r="J136" s="18"/>
      <c r="K136" s="18"/>
      <c r="L136" s="19"/>
      <c r="M136" s="22" t="str">
        <f t="shared" si="16"/>
        <v>Público Pendente</v>
      </c>
      <c r="N136" s="43"/>
    </row>
    <row r="137" ht="15.75" customHeight="1">
      <c r="A137" s="43"/>
      <c r="B137" s="21" t="b">
        <v>0</v>
      </c>
      <c r="C137" s="22">
        <v>4.0</v>
      </c>
      <c r="D137" s="23" t="s">
        <v>460</v>
      </c>
      <c r="E137" s="18"/>
      <c r="F137" s="18"/>
      <c r="G137" s="18"/>
      <c r="H137" s="19"/>
      <c r="I137" s="24" t="s">
        <v>465</v>
      </c>
      <c r="J137" s="18"/>
      <c r="K137" s="18"/>
      <c r="L137" s="19"/>
      <c r="M137" s="22" t="str">
        <f t="shared" si="16"/>
        <v>Público Pendente</v>
      </c>
      <c r="N137" s="43"/>
    </row>
    <row r="138" ht="15.75" customHeight="1">
      <c r="A138" s="43"/>
      <c r="B138" s="21" t="b">
        <v>0</v>
      </c>
      <c r="C138" s="22">
        <v>5.0</v>
      </c>
      <c r="D138" s="23" t="s">
        <v>470</v>
      </c>
      <c r="E138" s="18"/>
      <c r="F138" s="18"/>
      <c r="G138" s="18"/>
      <c r="H138" s="19"/>
      <c r="I138" s="24" t="s">
        <v>473</v>
      </c>
      <c r="J138" s="18"/>
      <c r="K138" s="18"/>
      <c r="L138" s="19"/>
      <c r="M138" s="22" t="str">
        <f t="shared" si="16"/>
        <v>Público Pendente</v>
      </c>
      <c r="N138" s="43"/>
    </row>
    <row r="139" ht="15.75" customHeight="1">
      <c r="A139" s="43"/>
      <c r="B139" s="21" t="b">
        <v>0</v>
      </c>
      <c r="C139" s="22">
        <v>6.0</v>
      </c>
      <c r="D139" s="23" t="s">
        <v>475</v>
      </c>
      <c r="E139" s="18"/>
      <c r="F139" s="18"/>
      <c r="G139" s="18"/>
      <c r="H139" s="19"/>
      <c r="I139" s="24" t="s">
        <v>478</v>
      </c>
      <c r="J139" s="18"/>
      <c r="K139" s="18"/>
      <c r="L139" s="19"/>
      <c r="M139" s="22" t="str">
        <f t="shared" si="16"/>
        <v>Público Pendente</v>
      </c>
      <c r="N139" s="43"/>
    </row>
    <row r="140" ht="15.75" customHeight="1">
      <c r="A140" s="43"/>
      <c r="B140" s="23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43"/>
    </row>
    <row r="141" ht="15.75" customHeight="1">
      <c r="A141" s="43"/>
      <c r="B141" s="21" t="b">
        <v>0</v>
      </c>
      <c r="C141" s="22">
        <v>1.0</v>
      </c>
      <c r="D141" s="23" t="s">
        <v>485</v>
      </c>
      <c r="E141" s="18"/>
      <c r="F141" s="18"/>
      <c r="G141" s="18"/>
      <c r="H141" s="19"/>
      <c r="I141" s="24" t="s">
        <v>507</v>
      </c>
      <c r="J141" s="18"/>
      <c r="K141" s="18"/>
      <c r="L141" s="19"/>
      <c r="M141" s="22" t="str">
        <f t="shared" ref="M141:M146" si="17">IF(B141=TRUE,"Público Criado","Público Pendente")</f>
        <v>Público Pendente</v>
      </c>
      <c r="N141" s="43"/>
    </row>
    <row r="142" ht="15.75" customHeight="1">
      <c r="A142" s="43"/>
      <c r="B142" s="21" t="b">
        <v>0</v>
      </c>
      <c r="C142" s="22">
        <v>2.0</v>
      </c>
      <c r="D142" s="23" t="s">
        <v>556</v>
      </c>
      <c r="E142" s="18"/>
      <c r="F142" s="18"/>
      <c r="G142" s="18"/>
      <c r="H142" s="19"/>
      <c r="I142" s="24" t="s">
        <v>557</v>
      </c>
      <c r="J142" s="18"/>
      <c r="K142" s="18"/>
      <c r="L142" s="19"/>
      <c r="M142" s="22" t="str">
        <f t="shared" si="17"/>
        <v>Público Pendente</v>
      </c>
      <c r="N142" s="43"/>
    </row>
    <row r="143" ht="15.75" customHeight="1">
      <c r="A143" s="43"/>
      <c r="B143" s="21" t="b">
        <v>0</v>
      </c>
      <c r="C143" s="22">
        <v>3.0</v>
      </c>
      <c r="D143" s="23" t="s">
        <v>560</v>
      </c>
      <c r="E143" s="18"/>
      <c r="F143" s="18"/>
      <c r="G143" s="18"/>
      <c r="H143" s="19"/>
      <c r="I143" s="24" t="s">
        <v>562</v>
      </c>
      <c r="J143" s="18"/>
      <c r="K143" s="18"/>
      <c r="L143" s="19"/>
      <c r="M143" s="22" t="str">
        <f t="shared" si="17"/>
        <v>Público Pendente</v>
      </c>
      <c r="N143" s="43"/>
    </row>
    <row r="144" ht="15.75" customHeight="1">
      <c r="A144" s="43"/>
      <c r="B144" s="21" t="b">
        <v>0</v>
      </c>
      <c r="C144" s="22">
        <v>4.0</v>
      </c>
      <c r="D144" s="23" t="s">
        <v>564</v>
      </c>
      <c r="E144" s="18"/>
      <c r="F144" s="18"/>
      <c r="G144" s="18"/>
      <c r="H144" s="19"/>
      <c r="I144" s="24" t="s">
        <v>565</v>
      </c>
      <c r="J144" s="18"/>
      <c r="K144" s="18"/>
      <c r="L144" s="19"/>
      <c r="M144" s="22" t="str">
        <f t="shared" si="17"/>
        <v>Público Pendente</v>
      </c>
      <c r="N144" s="43"/>
    </row>
    <row r="145" ht="15.75" customHeight="1">
      <c r="A145" s="43"/>
      <c r="B145" s="21" t="b">
        <v>0</v>
      </c>
      <c r="C145" s="22">
        <v>5.0</v>
      </c>
      <c r="D145" s="23" t="s">
        <v>568</v>
      </c>
      <c r="E145" s="18"/>
      <c r="F145" s="18"/>
      <c r="G145" s="18"/>
      <c r="H145" s="19"/>
      <c r="I145" s="24" t="s">
        <v>570</v>
      </c>
      <c r="J145" s="18"/>
      <c r="K145" s="18"/>
      <c r="L145" s="19"/>
      <c r="M145" s="22" t="str">
        <f t="shared" si="17"/>
        <v>Público Pendente</v>
      </c>
      <c r="N145" s="43"/>
    </row>
    <row r="146" ht="15.75" customHeight="1">
      <c r="A146" s="43"/>
      <c r="B146" s="21" t="b">
        <v>0</v>
      </c>
      <c r="C146" s="22">
        <v>6.0</v>
      </c>
      <c r="D146" s="23" t="s">
        <v>572</v>
      </c>
      <c r="E146" s="18"/>
      <c r="F146" s="18"/>
      <c r="G146" s="18"/>
      <c r="H146" s="19"/>
      <c r="I146" s="24" t="s">
        <v>573</v>
      </c>
      <c r="J146" s="18"/>
      <c r="K146" s="18"/>
      <c r="L146" s="19"/>
      <c r="M146" s="22" t="str">
        <f t="shared" si="17"/>
        <v>Público Pendente</v>
      </c>
      <c r="N146" s="43"/>
    </row>
    <row r="147" ht="15.75" customHeight="1">
      <c r="A147" s="43"/>
      <c r="B147" s="23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43"/>
    </row>
    <row r="148" ht="15.75" customHeight="1">
      <c r="A148" s="43"/>
      <c r="B148" s="21" t="b">
        <v>0</v>
      </c>
      <c r="C148" s="22">
        <v>1.0</v>
      </c>
      <c r="D148" s="23" t="s">
        <v>574</v>
      </c>
      <c r="E148" s="18"/>
      <c r="F148" s="18"/>
      <c r="G148" s="18"/>
      <c r="H148" s="19"/>
      <c r="I148" s="24" t="s">
        <v>577</v>
      </c>
      <c r="J148" s="18"/>
      <c r="K148" s="18"/>
      <c r="L148" s="19"/>
      <c r="M148" s="22" t="str">
        <f t="shared" ref="M148:M153" si="18">IF(B148=TRUE,"Público Criado","Público Pendente")</f>
        <v>Público Pendente</v>
      </c>
      <c r="N148" s="43"/>
    </row>
    <row r="149" ht="15.75" customHeight="1">
      <c r="A149" s="43"/>
      <c r="B149" s="21" t="b">
        <v>0</v>
      </c>
      <c r="C149" s="22">
        <v>2.0</v>
      </c>
      <c r="D149" s="23" t="s">
        <v>580</v>
      </c>
      <c r="E149" s="18"/>
      <c r="F149" s="18"/>
      <c r="G149" s="18"/>
      <c r="H149" s="19"/>
      <c r="I149" s="24" t="s">
        <v>581</v>
      </c>
      <c r="J149" s="18"/>
      <c r="K149" s="18"/>
      <c r="L149" s="19"/>
      <c r="M149" s="22" t="str">
        <f t="shared" si="18"/>
        <v>Público Pendente</v>
      </c>
      <c r="N149" s="43"/>
    </row>
    <row r="150" ht="15.75" customHeight="1">
      <c r="A150" s="43"/>
      <c r="B150" s="21" t="b">
        <v>0</v>
      </c>
      <c r="C150" s="22">
        <v>3.0</v>
      </c>
      <c r="D150" s="23" t="s">
        <v>583</v>
      </c>
      <c r="E150" s="18"/>
      <c r="F150" s="18"/>
      <c r="G150" s="18"/>
      <c r="H150" s="19"/>
      <c r="I150" s="24" t="s">
        <v>585</v>
      </c>
      <c r="J150" s="18"/>
      <c r="K150" s="18"/>
      <c r="L150" s="19"/>
      <c r="M150" s="22" t="str">
        <f t="shared" si="18"/>
        <v>Público Pendente</v>
      </c>
      <c r="N150" s="43"/>
    </row>
    <row r="151" ht="15.75" customHeight="1">
      <c r="A151" s="43"/>
      <c r="B151" s="21" t="b">
        <v>0</v>
      </c>
      <c r="C151" s="22">
        <v>4.0</v>
      </c>
      <c r="D151" s="23" t="s">
        <v>587</v>
      </c>
      <c r="E151" s="18"/>
      <c r="F151" s="18"/>
      <c r="G151" s="18"/>
      <c r="H151" s="19"/>
      <c r="I151" s="24" t="s">
        <v>588</v>
      </c>
      <c r="J151" s="18"/>
      <c r="K151" s="18"/>
      <c r="L151" s="19"/>
      <c r="M151" s="22" t="str">
        <f t="shared" si="18"/>
        <v>Público Pendente</v>
      </c>
      <c r="N151" s="43"/>
    </row>
    <row r="152" ht="15.75" customHeight="1">
      <c r="A152" s="43"/>
      <c r="B152" s="21" t="b">
        <v>0</v>
      </c>
      <c r="C152" s="22">
        <v>5.0</v>
      </c>
      <c r="D152" s="23" t="s">
        <v>590</v>
      </c>
      <c r="E152" s="18"/>
      <c r="F152" s="18"/>
      <c r="G152" s="18"/>
      <c r="H152" s="19"/>
      <c r="I152" s="24" t="s">
        <v>592</v>
      </c>
      <c r="J152" s="18"/>
      <c r="K152" s="18"/>
      <c r="L152" s="19"/>
      <c r="M152" s="22" t="str">
        <f t="shared" si="18"/>
        <v>Público Pendente</v>
      </c>
      <c r="N152" s="43"/>
    </row>
    <row r="153" ht="15.75" customHeight="1">
      <c r="A153" s="43"/>
      <c r="B153" s="21" t="b">
        <v>0</v>
      </c>
      <c r="C153" s="22">
        <v>6.0</v>
      </c>
      <c r="D153" s="23" t="s">
        <v>593</v>
      </c>
      <c r="E153" s="18"/>
      <c r="F153" s="18"/>
      <c r="G153" s="18"/>
      <c r="H153" s="19"/>
      <c r="I153" s="24" t="s">
        <v>595</v>
      </c>
      <c r="J153" s="18"/>
      <c r="K153" s="18"/>
      <c r="L153" s="19"/>
      <c r="M153" s="22" t="str">
        <f t="shared" si="18"/>
        <v>Público Pendente</v>
      </c>
      <c r="N153" s="43"/>
    </row>
    <row r="154" ht="15.75" customHeight="1">
      <c r="A154" s="43"/>
      <c r="B154" s="23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43"/>
    </row>
    <row r="155" ht="15.75" customHeight="1">
      <c r="A155" s="43"/>
      <c r="B155" s="21" t="b">
        <v>0</v>
      </c>
      <c r="C155" s="22">
        <v>1.0</v>
      </c>
      <c r="D155" s="23" t="s">
        <v>596</v>
      </c>
      <c r="E155" s="18"/>
      <c r="F155" s="18"/>
      <c r="G155" s="18"/>
      <c r="H155" s="19"/>
      <c r="I155" s="24" t="s">
        <v>597</v>
      </c>
      <c r="J155" s="18"/>
      <c r="K155" s="18"/>
      <c r="L155" s="19"/>
      <c r="M155" s="22" t="str">
        <f t="shared" ref="M155:M160" si="19">IF(B155=TRUE,"Público Criado","Público Pendente")</f>
        <v>Público Pendente</v>
      </c>
      <c r="N155" s="43"/>
    </row>
    <row r="156" ht="15.75" customHeight="1">
      <c r="A156" s="43"/>
      <c r="B156" s="21" t="b">
        <v>0</v>
      </c>
      <c r="C156" s="22">
        <v>2.0</v>
      </c>
      <c r="D156" s="23" t="s">
        <v>600</v>
      </c>
      <c r="E156" s="18"/>
      <c r="F156" s="18"/>
      <c r="G156" s="18"/>
      <c r="H156" s="19"/>
      <c r="I156" s="24" t="s">
        <v>601</v>
      </c>
      <c r="J156" s="18"/>
      <c r="K156" s="18"/>
      <c r="L156" s="19"/>
      <c r="M156" s="22" t="str">
        <f t="shared" si="19"/>
        <v>Público Pendente</v>
      </c>
      <c r="N156" s="43"/>
    </row>
    <row r="157" ht="15.75" customHeight="1">
      <c r="A157" s="43"/>
      <c r="B157" s="21" t="b">
        <v>0</v>
      </c>
      <c r="C157" s="22">
        <v>3.0</v>
      </c>
      <c r="D157" s="23" t="s">
        <v>604</v>
      </c>
      <c r="E157" s="18"/>
      <c r="F157" s="18"/>
      <c r="G157" s="18"/>
      <c r="H157" s="19"/>
      <c r="I157" s="24" t="s">
        <v>605</v>
      </c>
      <c r="J157" s="18"/>
      <c r="K157" s="18"/>
      <c r="L157" s="19"/>
      <c r="M157" s="22" t="str">
        <f t="shared" si="19"/>
        <v>Público Pendente</v>
      </c>
      <c r="N157" s="43"/>
    </row>
    <row r="158" ht="15.75" customHeight="1">
      <c r="A158" s="43"/>
      <c r="B158" s="21" t="b">
        <v>0</v>
      </c>
      <c r="C158" s="22">
        <v>4.0</v>
      </c>
      <c r="D158" s="23" t="s">
        <v>607</v>
      </c>
      <c r="E158" s="18"/>
      <c r="F158" s="18"/>
      <c r="G158" s="18"/>
      <c r="H158" s="19"/>
      <c r="I158" s="24" t="s">
        <v>609</v>
      </c>
      <c r="J158" s="18"/>
      <c r="K158" s="18"/>
      <c r="L158" s="19"/>
      <c r="M158" s="22" t="str">
        <f t="shared" si="19"/>
        <v>Público Pendente</v>
      </c>
      <c r="N158" s="43"/>
    </row>
    <row r="159" ht="15.75" customHeight="1">
      <c r="A159" s="43"/>
      <c r="B159" s="21" t="b">
        <v>0</v>
      </c>
      <c r="C159" s="22">
        <v>5.0</v>
      </c>
      <c r="D159" s="23" t="s">
        <v>611</v>
      </c>
      <c r="E159" s="18"/>
      <c r="F159" s="18"/>
      <c r="G159" s="18"/>
      <c r="H159" s="19"/>
      <c r="I159" s="24" t="s">
        <v>613</v>
      </c>
      <c r="J159" s="18"/>
      <c r="K159" s="18"/>
      <c r="L159" s="19"/>
      <c r="M159" s="22" t="str">
        <f t="shared" si="19"/>
        <v>Público Pendente</v>
      </c>
      <c r="N159" s="43"/>
    </row>
    <row r="160" ht="15.75" customHeight="1">
      <c r="A160" s="43"/>
      <c r="B160" s="21" t="b">
        <v>0</v>
      </c>
      <c r="C160" s="22">
        <v>6.0</v>
      </c>
      <c r="D160" s="23" t="s">
        <v>615</v>
      </c>
      <c r="E160" s="18"/>
      <c r="F160" s="18"/>
      <c r="G160" s="18"/>
      <c r="H160" s="19"/>
      <c r="I160" s="24" t="s">
        <v>617</v>
      </c>
      <c r="J160" s="18"/>
      <c r="K160" s="18"/>
      <c r="L160" s="19"/>
      <c r="M160" s="22" t="str">
        <f t="shared" si="19"/>
        <v>Público Pendente</v>
      </c>
      <c r="N160" s="43"/>
    </row>
    <row r="161" ht="15.75" customHeight="1">
      <c r="A161" s="43"/>
      <c r="C161" s="14"/>
      <c r="N161" s="43"/>
    </row>
    <row r="162" ht="15.75" customHeight="1">
      <c r="A162" s="43"/>
      <c r="C162" s="14"/>
      <c r="N162" s="43"/>
    </row>
    <row r="163" ht="15.75" customHeight="1">
      <c r="A163" s="53"/>
      <c r="B163" s="54" t="s">
        <v>618</v>
      </c>
      <c r="N163" s="53"/>
    </row>
    <row r="164" ht="15.75" customHeight="1">
      <c r="A164" s="53"/>
      <c r="N164" s="53"/>
    </row>
    <row r="165" ht="15.75" customHeight="1">
      <c r="A165" s="53"/>
      <c r="N165" s="53"/>
    </row>
    <row r="166" ht="15.75" customHeight="1">
      <c r="A166" s="53"/>
      <c r="C166" s="14"/>
      <c r="N166" s="53"/>
    </row>
    <row r="167" ht="15.75" customHeight="1">
      <c r="A167" s="53"/>
      <c r="B167" s="55"/>
      <c r="C167" s="55" t="s">
        <v>4</v>
      </c>
      <c r="D167" s="56" t="s">
        <v>5</v>
      </c>
      <c r="E167" s="18"/>
      <c r="F167" s="18"/>
      <c r="G167" s="18"/>
      <c r="H167" s="19"/>
      <c r="I167" s="57" t="s">
        <v>6</v>
      </c>
      <c r="J167" s="18"/>
      <c r="K167" s="18"/>
      <c r="L167" s="19"/>
      <c r="M167" s="55" t="s">
        <v>7</v>
      </c>
      <c r="N167" s="53"/>
    </row>
    <row r="168" ht="15.75" customHeight="1">
      <c r="A168" s="53"/>
      <c r="B168" s="21" t="b">
        <v>0</v>
      </c>
      <c r="C168" s="22">
        <v>1.0</v>
      </c>
      <c r="D168" s="23" t="s">
        <v>620</v>
      </c>
      <c r="E168" s="18"/>
      <c r="F168" s="18"/>
      <c r="G168" s="18"/>
      <c r="H168" s="19"/>
      <c r="I168" s="24" t="s">
        <v>621</v>
      </c>
      <c r="J168" s="18"/>
      <c r="K168" s="18"/>
      <c r="L168" s="19"/>
      <c r="M168" s="22" t="str">
        <f t="shared" ref="M168:M173" si="20">IF(B168=TRUE,"Público Criado","Público Pendente")</f>
        <v>Público Pendente</v>
      </c>
      <c r="N168" s="53"/>
    </row>
    <row r="169" ht="15.75" customHeight="1">
      <c r="A169" s="53"/>
      <c r="B169" s="21" t="b">
        <v>0</v>
      </c>
      <c r="C169" s="22">
        <v>2.0</v>
      </c>
      <c r="D169" s="61" t="s">
        <v>623</v>
      </c>
      <c r="E169" s="18"/>
      <c r="F169" s="18"/>
      <c r="G169" s="18"/>
      <c r="H169" s="19"/>
      <c r="I169" s="62" t="s">
        <v>625</v>
      </c>
      <c r="J169" s="18"/>
      <c r="K169" s="18"/>
      <c r="L169" s="19"/>
      <c r="M169" s="22" t="str">
        <f t="shared" si="20"/>
        <v>Público Pendente</v>
      </c>
      <c r="N169" s="53"/>
    </row>
    <row r="170" ht="15.75" customHeight="1">
      <c r="A170" s="53"/>
      <c r="B170" s="21" t="b">
        <v>0</v>
      </c>
      <c r="C170" s="22">
        <v>3.0</v>
      </c>
      <c r="D170" s="61" t="s">
        <v>627</v>
      </c>
      <c r="E170" s="18"/>
      <c r="F170" s="18"/>
      <c r="G170" s="18"/>
      <c r="H170" s="19"/>
      <c r="I170" s="62" t="s">
        <v>628</v>
      </c>
      <c r="J170" s="18"/>
      <c r="K170" s="18"/>
      <c r="L170" s="19"/>
      <c r="M170" s="22" t="str">
        <f t="shared" si="20"/>
        <v>Público Pendente</v>
      </c>
      <c r="N170" s="53"/>
    </row>
    <row r="171" ht="15.75" customHeight="1">
      <c r="A171" s="53"/>
      <c r="B171" s="21" t="b">
        <v>0</v>
      </c>
      <c r="C171" s="22">
        <v>4.0</v>
      </c>
      <c r="D171" s="61" t="s">
        <v>629</v>
      </c>
      <c r="E171" s="18"/>
      <c r="F171" s="18"/>
      <c r="G171" s="18"/>
      <c r="H171" s="19"/>
      <c r="I171" s="62" t="s">
        <v>630</v>
      </c>
      <c r="J171" s="18"/>
      <c r="K171" s="18"/>
      <c r="L171" s="19"/>
      <c r="M171" s="22" t="str">
        <f t="shared" si="20"/>
        <v>Público Pendente</v>
      </c>
      <c r="N171" s="53"/>
    </row>
    <row r="172" ht="15.75" customHeight="1">
      <c r="A172" s="53"/>
      <c r="B172" s="21" t="b">
        <v>0</v>
      </c>
      <c r="C172" s="22">
        <v>5.0</v>
      </c>
      <c r="D172" s="61" t="s">
        <v>632</v>
      </c>
      <c r="E172" s="18"/>
      <c r="F172" s="18"/>
      <c r="G172" s="18"/>
      <c r="H172" s="19"/>
      <c r="I172" s="62" t="s">
        <v>633</v>
      </c>
      <c r="J172" s="18"/>
      <c r="K172" s="18"/>
      <c r="L172" s="19"/>
      <c r="M172" s="22" t="str">
        <f t="shared" si="20"/>
        <v>Público Pendente</v>
      </c>
      <c r="N172" s="53"/>
    </row>
    <row r="173" ht="15.75" customHeight="1">
      <c r="A173" s="53"/>
      <c r="B173" s="21" t="b">
        <v>0</v>
      </c>
      <c r="C173" s="22">
        <v>6.0</v>
      </c>
      <c r="D173" s="61" t="s">
        <v>632</v>
      </c>
      <c r="E173" s="18"/>
      <c r="F173" s="18"/>
      <c r="G173" s="18"/>
      <c r="H173" s="19"/>
      <c r="I173" s="62" t="s">
        <v>633</v>
      </c>
      <c r="J173" s="18"/>
      <c r="K173" s="18"/>
      <c r="L173" s="19"/>
      <c r="M173" s="22" t="str">
        <f t="shared" si="20"/>
        <v>Público Pendente</v>
      </c>
      <c r="N173" s="53"/>
    </row>
    <row r="174" ht="15.75" customHeight="1">
      <c r="A174" s="53"/>
      <c r="B174" s="23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53"/>
    </row>
    <row r="175" ht="15.75" customHeight="1">
      <c r="A175" s="53"/>
      <c r="B175" s="21" t="b">
        <v>0</v>
      </c>
      <c r="C175" s="22">
        <v>1.0</v>
      </c>
      <c r="D175" s="23" t="s">
        <v>635</v>
      </c>
      <c r="E175" s="18"/>
      <c r="F175" s="18"/>
      <c r="G175" s="18"/>
      <c r="H175" s="19"/>
      <c r="I175" s="24" t="s">
        <v>637</v>
      </c>
      <c r="J175" s="18"/>
      <c r="K175" s="18"/>
      <c r="L175" s="19"/>
      <c r="M175" s="22" t="str">
        <f t="shared" ref="M175:M180" si="21">IF(B175=TRUE,"Público Criado","Público Pendente")</f>
        <v>Público Pendente</v>
      </c>
      <c r="N175" s="53"/>
    </row>
    <row r="176" ht="15.75" customHeight="1">
      <c r="A176" s="53"/>
      <c r="B176" s="21" t="b">
        <v>0</v>
      </c>
      <c r="C176" s="22">
        <v>2.0</v>
      </c>
      <c r="D176" s="23" t="s">
        <v>638</v>
      </c>
      <c r="E176" s="18"/>
      <c r="F176" s="18"/>
      <c r="G176" s="18"/>
      <c r="H176" s="19"/>
      <c r="I176" s="24" t="s">
        <v>639</v>
      </c>
      <c r="J176" s="18"/>
      <c r="K176" s="18"/>
      <c r="L176" s="19"/>
      <c r="M176" s="22" t="str">
        <f t="shared" si="21"/>
        <v>Público Pendente</v>
      </c>
      <c r="N176" s="53"/>
    </row>
    <row r="177" ht="15.75" customHeight="1">
      <c r="A177" s="53"/>
      <c r="B177" s="21" t="b">
        <v>0</v>
      </c>
      <c r="C177" s="22">
        <v>3.0</v>
      </c>
      <c r="D177" s="23" t="s">
        <v>642</v>
      </c>
      <c r="E177" s="18"/>
      <c r="F177" s="18"/>
      <c r="G177" s="18"/>
      <c r="H177" s="19"/>
      <c r="I177" s="24" t="s">
        <v>643</v>
      </c>
      <c r="J177" s="18"/>
      <c r="K177" s="18"/>
      <c r="L177" s="19"/>
      <c r="M177" s="22" t="str">
        <f t="shared" si="21"/>
        <v>Público Pendente</v>
      </c>
      <c r="N177" s="53"/>
    </row>
    <row r="178" ht="15.75" customHeight="1">
      <c r="A178" s="53"/>
      <c r="B178" s="21" t="b">
        <v>0</v>
      </c>
      <c r="C178" s="22">
        <v>4.0</v>
      </c>
      <c r="D178" s="23" t="s">
        <v>644</v>
      </c>
      <c r="E178" s="18"/>
      <c r="F178" s="18"/>
      <c r="G178" s="18"/>
      <c r="H178" s="19"/>
      <c r="I178" s="24" t="s">
        <v>646</v>
      </c>
      <c r="J178" s="18"/>
      <c r="K178" s="18"/>
      <c r="L178" s="19"/>
      <c r="M178" s="22" t="str">
        <f t="shared" si="21"/>
        <v>Público Pendente</v>
      </c>
      <c r="N178" s="53"/>
    </row>
    <row r="179" ht="15.75" customHeight="1">
      <c r="A179" s="53"/>
      <c r="B179" s="21" t="b">
        <v>0</v>
      </c>
      <c r="C179" s="22">
        <v>5.0</v>
      </c>
      <c r="D179" s="23" t="s">
        <v>648</v>
      </c>
      <c r="E179" s="18"/>
      <c r="F179" s="18"/>
      <c r="G179" s="18"/>
      <c r="H179" s="19"/>
      <c r="I179" s="24" t="s">
        <v>649</v>
      </c>
      <c r="J179" s="18"/>
      <c r="K179" s="18"/>
      <c r="L179" s="19"/>
      <c r="M179" s="22" t="str">
        <f t="shared" si="21"/>
        <v>Público Pendente</v>
      </c>
      <c r="N179" s="53"/>
    </row>
    <row r="180" ht="15.75" customHeight="1">
      <c r="A180" s="53"/>
      <c r="B180" s="21" t="b">
        <v>0</v>
      </c>
      <c r="C180" s="22">
        <v>6.0</v>
      </c>
      <c r="D180" s="23" t="s">
        <v>648</v>
      </c>
      <c r="E180" s="18"/>
      <c r="F180" s="18"/>
      <c r="G180" s="18"/>
      <c r="H180" s="19"/>
      <c r="I180" s="24" t="s">
        <v>649</v>
      </c>
      <c r="J180" s="18"/>
      <c r="K180" s="18"/>
      <c r="L180" s="19"/>
      <c r="M180" s="22" t="str">
        <f t="shared" si="21"/>
        <v>Público Pendente</v>
      </c>
      <c r="N180" s="53"/>
    </row>
    <row r="181" ht="15.75" customHeight="1">
      <c r="A181" s="53"/>
      <c r="B181" s="23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53"/>
    </row>
    <row r="182" ht="15.75" customHeight="1">
      <c r="A182" s="53"/>
      <c r="B182" s="21" t="b">
        <v>0</v>
      </c>
      <c r="C182" s="22">
        <v>1.0</v>
      </c>
      <c r="D182" s="23" t="s">
        <v>651</v>
      </c>
      <c r="E182" s="18"/>
      <c r="F182" s="18"/>
      <c r="G182" s="18"/>
      <c r="H182" s="19"/>
      <c r="I182" s="24" t="s">
        <v>652</v>
      </c>
      <c r="J182" s="18"/>
      <c r="K182" s="18"/>
      <c r="L182" s="19"/>
      <c r="M182" s="22" t="str">
        <f t="shared" ref="M182:M187" si="22">IF(B182=TRUE,"Público Criado","Público Pendente")</f>
        <v>Público Pendente</v>
      </c>
      <c r="N182" s="53"/>
    </row>
    <row r="183" ht="15.75" customHeight="1">
      <c r="A183" s="53"/>
      <c r="B183" s="21" t="b">
        <v>0</v>
      </c>
      <c r="C183" s="22">
        <v>2.0</v>
      </c>
      <c r="D183" s="23" t="s">
        <v>653</v>
      </c>
      <c r="E183" s="18"/>
      <c r="F183" s="18"/>
      <c r="G183" s="18"/>
      <c r="H183" s="19"/>
      <c r="I183" s="24" t="s">
        <v>655</v>
      </c>
      <c r="J183" s="18"/>
      <c r="K183" s="18"/>
      <c r="L183" s="19"/>
      <c r="M183" s="22" t="str">
        <f t="shared" si="22"/>
        <v>Público Pendente</v>
      </c>
      <c r="N183" s="53"/>
    </row>
    <row r="184" ht="15.75" customHeight="1">
      <c r="A184" s="53"/>
      <c r="B184" s="21" t="b">
        <v>0</v>
      </c>
      <c r="C184" s="22">
        <v>3.0</v>
      </c>
      <c r="D184" s="23" t="s">
        <v>656</v>
      </c>
      <c r="E184" s="18"/>
      <c r="F184" s="18"/>
      <c r="G184" s="18"/>
      <c r="H184" s="19"/>
      <c r="I184" s="24" t="s">
        <v>658</v>
      </c>
      <c r="J184" s="18"/>
      <c r="K184" s="18"/>
      <c r="L184" s="19"/>
      <c r="M184" s="22" t="str">
        <f t="shared" si="22"/>
        <v>Público Pendente</v>
      </c>
      <c r="N184" s="53"/>
    </row>
    <row r="185" ht="15.75" customHeight="1">
      <c r="A185" s="53"/>
      <c r="B185" s="21" t="b">
        <v>0</v>
      </c>
      <c r="C185" s="22">
        <v>4.0</v>
      </c>
      <c r="D185" s="23" t="s">
        <v>659</v>
      </c>
      <c r="E185" s="18"/>
      <c r="F185" s="18"/>
      <c r="G185" s="18"/>
      <c r="H185" s="19"/>
      <c r="I185" s="24" t="s">
        <v>661</v>
      </c>
      <c r="J185" s="18"/>
      <c r="K185" s="18"/>
      <c r="L185" s="19"/>
      <c r="M185" s="22" t="str">
        <f t="shared" si="22"/>
        <v>Público Pendente</v>
      </c>
      <c r="N185" s="53"/>
    </row>
    <row r="186" ht="15.75" customHeight="1">
      <c r="A186" s="53"/>
      <c r="B186" s="21" t="b">
        <v>0</v>
      </c>
      <c r="C186" s="22">
        <v>5.0</v>
      </c>
      <c r="D186" s="23" t="s">
        <v>662</v>
      </c>
      <c r="E186" s="18"/>
      <c r="F186" s="18"/>
      <c r="G186" s="18"/>
      <c r="H186" s="19"/>
      <c r="I186" s="24" t="s">
        <v>663</v>
      </c>
      <c r="J186" s="18"/>
      <c r="K186" s="18"/>
      <c r="L186" s="19"/>
      <c r="M186" s="22" t="str">
        <f t="shared" si="22"/>
        <v>Público Pendente</v>
      </c>
      <c r="N186" s="53"/>
    </row>
    <row r="187" ht="15.75" customHeight="1">
      <c r="A187" s="53"/>
      <c r="B187" s="21" t="b">
        <v>0</v>
      </c>
      <c r="C187" s="22">
        <v>6.0</v>
      </c>
      <c r="D187" s="23" t="s">
        <v>665</v>
      </c>
      <c r="E187" s="18"/>
      <c r="F187" s="18"/>
      <c r="G187" s="18"/>
      <c r="H187" s="19"/>
      <c r="I187" s="24" t="s">
        <v>666</v>
      </c>
      <c r="J187" s="18"/>
      <c r="K187" s="18"/>
      <c r="L187" s="19"/>
      <c r="M187" s="22" t="str">
        <f t="shared" si="22"/>
        <v>Público Pendente</v>
      </c>
      <c r="N187" s="53"/>
    </row>
    <row r="188" ht="15.75" customHeight="1">
      <c r="A188" s="53"/>
      <c r="B188" s="23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53"/>
    </row>
    <row r="189" ht="15.75" customHeight="1">
      <c r="A189" s="53"/>
      <c r="B189" s="21" t="b">
        <v>0</v>
      </c>
      <c r="C189" s="22">
        <v>1.0</v>
      </c>
      <c r="D189" s="23" t="s">
        <v>668</v>
      </c>
      <c r="E189" s="18"/>
      <c r="F189" s="18"/>
      <c r="G189" s="18"/>
      <c r="H189" s="19"/>
      <c r="I189" s="24" t="s">
        <v>669</v>
      </c>
      <c r="J189" s="18"/>
      <c r="K189" s="18"/>
      <c r="L189" s="19"/>
      <c r="M189" s="22" t="str">
        <f t="shared" ref="M189:M194" si="23">IF(B189=TRUE,"Público Criado","Público Pendente")</f>
        <v>Público Pendente</v>
      </c>
      <c r="N189" s="53"/>
    </row>
    <row r="190" ht="15.75" customHeight="1">
      <c r="A190" s="53"/>
      <c r="B190" s="21" t="b">
        <v>0</v>
      </c>
      <c r="C190" s="22">
        <v>2.0</v>
      </c>
      <c r="D190" s="23" t="s">
        <v>671</v>
      </c>
      <c r="E190" s="18"/>
      <c r="F190" s="18"/>
      <c r="G190" s="18"/>
      <c r="H190" s="19"/>
      <c r="I190" s="24" t="s">
        <v>673</v>
      </c>
      <c r="J190" s="18"/>
      <c r="K190" s="18"/>
      <c r="L190" s="19"/>
      <c r="M190" s="22" t="str">
        <f t="shared" si="23"/>
        <v>Público Pendente</v>
      </c>
      <c r="N190" s="53"/>
    </row>
    <row r="191" ht="15.75" customHeight="1">
      <c r="A191" s="53"/>
      <c r="B191" s="21" t="b">
        <v>0</v>
      </c>
      <c r="C191" s="22">
        <v>3.0</v>
      </c>
      <c r="D191" s="23" t="s">
        <v>674</v>
      </c>
      <c r="E191" s="18"/>
      <c r="F191" s="18"/>
      <c r="G191" s="18"/>
      <c r="H191" s="19"/>
      <c r="I191" s="24" t="s">
        <v>675</v>
      </c>
      <c r="J191" s="18"/>
      <c r="K191" s="18"/>
      <c r="L191" s="19"/>
      <c r="M191" s="22" t="str">
        <f t="shared" si="23"/>
        <v>Público Pendente</v>
      </c>
      <c r="N191" s="53"/>
    </row>
    <row r="192" ht="15.75" customHeight="1">
      <c r="A192" s="53"/>
      <c r="B192" s="21" t="b">
        <v>0</v>
      </c>
      <c r="C192" s="22">
        <v>4.0</v>
      </c>
      <c r="D192" s="23" t="s">
        <v>677</v>
      </c>
      <c r="E192" s="18"/>
      <c r="F192" s="18"/>
      <c r="G192" s="18"/>
      <c r="H192" s="19"/>
      <c r="I192" s="24" t="s">
        <v>678</v>
      </c>
      <c r="J192" s="18"/>
      <c r="K192" s="18"/>
      <c r="L192" s="19"/>
      <c r="M192" s="22" t="str">
        <f t="shared" si="23"/>
        <v>Público Pendente</v>
      </c>
      <c r="N192" s="53"/>
    </row>
    <row r="193" ht="15.75" customHeight="1">
      <c r="A193" s="53"/>
      <c r="B193" s="21" t="b">
        <v>0</v>
      </c>
      <c r="C193" s="22">
        <v>5.0</v>
      </c>
      <c r="D193" s="23" t="s">
        <v>680</v>
      </c>
      <c r="E193" s="18"/>
      <c r="F193" s="18"/>
      <c r="G193" s="18"/>
      <c r="H193" s="19"/>
      <c r="I193" s="24" t="s">
        <v>681</v>
      </c>
      <c r="J193" s="18"/>
      <c r="K193" s="18"/>
      <c r="L193" s="19"/>
      <c r="M193" s="22" t="str">
        <f t="shared" si="23"/>
        <v>Público Pendente</v>
      </c>
      <c r="N193" s="53"/>
    </row>
    <row r="194" ht="15.75" customHeight="1">
      <c r="A194" s="53"/>
      <c r="B194" s="21" t="b">
        <v>0</v>
      </c>
      <c r="C194" s="22">
        <v>6.0</v>
      </c>
      <c r="D194" s="23" t="s">
        <v>682</v>
      </c>
      <c r="E194" s="18"/>
      <c r="F194" s="18"/>
      <c r="G194" s="18"/>
      <c r="H194" s="19"/>
      <c r="I194" s="24" t="s">
        <v>683</v>
      </c>
      <c r="J194" s="18"/>
      <c r="K194" s="18"/>
      <c r="L194" s="19"/>
      <c r="M194" s="22" t="str">
        <f t="shared" si="23"/>
        <v>Público Pendente</v>
      </c>
      <c r="N194" s="53"/>
    </row>
    <row r="195" ht="15.75" customHeight="1">
      <c r="A195" s="53"/>
      <c r="B195" s="23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53"/>
    </row>
    <row r="196" ht="15.75" customHeight="1">
      <c r="A196" s="53"/>
      <c r="B196" s="21" t="b">
        <v>0</v>
      </c>
      <c r="C196" s="22">
        <v>1.0</v>
      </c>
      <c r="D196" s="23" t="s">
        <v>687</v>
      </c>
      <c r="E196" s="18"/>
      <c r="F196" s="18"/>
      <c r="G196" s="18"/>
      <c r="H196" s="19"/>
      <c r="I196" s="24" t="s">
        <v>688</v>
      </c>
      <c r="J196" s="18"/>
      <c r="K196" s="18"/>
      <c r="L196" s="19"/>
      <c r="M196" s="22" t="str">
        <f t="shared" ref="M196:M201" si="24">IF(B196=TRUE,"Público Criado","Público Pendente")</f>
        <v>Público Pendente</v>
      </c>
      <c r="N196" s="53"/>
    </row>
    <row r="197" ht="15.75" customHeight="1">
      <c r="A197" s="53"/>
      <c r="B197" s="21" t="b">
        <v>0</v>
      </c>
      <c r="C197" s="22">
        <v>2.0</v>
      </c>
      <c r="D197" s="23" t="s">
        <v>690</v>
      </c>
      <c r="E197" s="18"/>
      <c r="F197" s="18"/>
      <c r="G197" s="18"/>
      <c r="H197" s="19"/>
      <c r="I197" s="24" t="s">
        <v>691</v>
      </c>
      <c r="J197" s="18"/>
      <c r="K197" s="18"/>
      <c r="L197" s="19"/>
      <c r="M197" s="22" t="str">
        <f t="shared" si="24"/>
        <v>Público Pendente</v>
      </c>
      <c r="N197" s="53"/>
    </row>
    <row r="198" ht="15.75" customHeight="1">
      <c r="A198" s="53"/>
      <c r="B198" s="21" t="b">
        <v>0</v>
      </c>
      <c r="C198" s="22">
        <v>3.0</v>
      </c>
      <c r="D198" s="23" t="s">
        <v>693</v>
      </c>
      <c r="E198" s="18"/>
      <c r="F198" s="18"/>
      <c r="G198" s="18"/>
      <c r="H198" s="19"/>
      <c r="I198" s="24" t="s">
        <v>694</v>
      </c>
      <c r="J198" s="18"/>
      <c r="K198" s="18"/>
      <c r="L198" s="19"/>
      <c r="M198" s="22" t="str">
        <f t="shared" si="24"/>
        <v>Público Pendente</v>
      </c>
      <c r="N198" s="53"/>
    </row>
    <row r="199" ht="15.75" customHeight="1">
      <c r="A199" s="53"/>
      <c r="B199" s="21" t="b">
        <v>0</v>
      </c>
      <c r="C199" s="22">
        <v>4.0</v>
      </c>
      <c r="D199" s="23" t="s">
        <v>696</v>
      </c>
      <c r="E199" s="18"/>
      <c r="F199" s="18"/>
      <c r="G199" s="18"/>
      <c r="H199" s="19"/>
      <c r="I199" s="24" t="s">
        <v>697</v>
      </c>
      <c r="J199" s="18"/>
      <c r="K199" s="18"/>
      <c r="L199" s="19"/>
      <c r="M199" s="22" t="str">
        <f t="shared" si="24"/>
        <v>Público Pendente</v>
      </c>
      <c r="N199" s="53"/>
    </row>
    <row r="200" ht="15.75" customHeight="1">
      <c r="A200" s="53"/>
      <c r="B200" s="21" t="b">
        <v>0</v>
      </c>
      <c r="C200" s="22">
        <v>5.0</v>
      </c>
      <c r="D200" s="23" t="s">
        <v>698</v>
      </c>
      <c r="E200" s="18"/>
      <c r="F200" s="18"/>
      <c r="G200" s="18"/>
      <c r="H200" s="19"/>
      <c r="I200" s="24" t="s">
        <v>699</v>
      </c>
      <c r="J200" s="18"/>
      <c r="K200" s="18"/>
      <c r="L200" s="19"/>
      <c r="M200" s="22" t="str">
        <f t="shared" si="24"/>
        <v>Público Pendente</v>
      </c>
      <c r="N200" s="53"/>
    </row>
    <row r="201" ht="15.75" customHeight="1">
      <c r="A201" s="53"/>
      <c r="B201" s="21" t="b">
        <v>0</v>
      </c>
      <c r="C201" s="22">
        <v>6.0</v>
      </c>
      <c r="D201" s="23" t="s">
        <v>701</v>
      </c>
      <c r="E201" s="18"/>
      <c r="F201" s="18"/>
      <c r="G201" s="18"/>
      <c r="H201" s="19"/>
      <c r="I201" s="24" t="s">
        <v>702</v>
      </c>
      <c r="J201" s="18"/>
      <c r="K201" s="18"/>
      <c r="L201" s="19"/>
      <c r="M201" s="22" t="str">
        <f t="shared" si="24"/>
        <v>Público Pendente</v>
      </c>
      <c r="N201" s="53"/>
    </row>
    <row r="202" ht="15.75" customHeight="1">
      <c r="A202" s="53"/>
      <c r="B202" s="23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53"/>
    </row>
    <row r="203" ht="15.75" customHeight="1">
      <c r="A203" s="53"/>
      <c r="B203" s="21" t="b">
        <v>0</v>
      </c>
      <c r="C203" s="22">
        <v>1.0</v>
      </c>
      <c r="D203" s="23" t="s">
        <v>704</v>
      </c>
      <c r="E203" s="18"/>
      <c r="F203" s="18"/>
      <c r="G203" s="18"/>
      <c r="H203" s="19"/>
      <c r="I203" s="24" t="s">
        <v>705</v>
      </c>
      <c r="J203" s="18"/>
      <c r="K203" s="18"/>
      <c r="L203" s="19"/>
      <c r="M203" s="22" t="str">
        <f t="shared" ref="M203:M208" si="25">IF(B203=TRUE,"Público Criado","Público Pendente")</f>
        <v>Público Pendente</v>
      </c>
      <c r="N203" s="53"/>
    </row>
    <row r="204" ht="15.75" customHeight="1">
      <c r="A204" s="53"/>
      <c r="B204" s="21" t="b">
        <v>0</v>
      </c>
      <c r="C204" s="22">
        <v>2.0</v>
      </c>
      <c r="D204" s="23" t="s">
        <v>707</v>
      </c>
      <c r="E204" s="18"/>
      <c r="F204" s="18"/>
      <c r="G204" s="18"/>
      <c r="H204" s="19"/>
      <c r="I204" s="24" t="s">
        <v>708</v>
      </c>
      <c r="J204" s="18"/>
      <c r="K204" s="18"/>
      <c r="L204" s="19"/>
      <c r="M204" s="22" t="str">
        <f t="shared" si="25"/>
        <v>Público Pendente</v>
      </c>
      <c r="N204" s="53"/>
    </row>
    <row r="205" ht="15.75" customHeight="1">
      <c r="A205" s="53"/>
      <c r="B205" s="21" t="b">
        <v>0</v>
      </c>
      <c r="C205" s="22">
        <v>3.0</v>
      </c>
      <c r="D205" s="23" t="s">
        <v>710</v>
      </c>
      <c r="E205" s="18"/>
      <c r="F205" s="18"/>
      <c r="G205" s="18"/>
      <c r="H205" s="19"/>
      <c r="I205" s="24" t="s">
        <v>711</v>
      </c>
      <c r="J205" s="18"/>
      <c r="K205" s="18"/>
      <c r="L205" s="19"/>
      <c r="M205" s="22" t="str">
        <f t="shared" si="25"/>
        <v>Público Pendente</v>
      </c>
      <c r="N205" s="53"/>
    </row>
    <row r="206" ht="15.75" customHeight="1">
      <c r="A206" s="53"/>
      <c r="B206" s="21" t="b">
        <v>0</v>
      </c>
      <c r="C206" s="22">
        <v>4.0</v>
      </c>
      <c r="D206" s="23" t="s">
        <v>713</v>
      </c>
      <c r="E206" s="18"/>
      <c r="F206" s="18"/>
      <c r="G206" s="18"/>
      <c r="H206" s="19"/>
      <c r="I206" s="24" t="s">
        <v>714</v>
      </c>
      <c r="J206" s="18"/>
      <c r="K206" s="18"/>
      <c r="L206" s="19"/>
      <c r="M206" s="22" t="str">
        <f t="shared" si="25"/>
        <v>Público Pendente</v>
      </c>
      <c r="N206" s="53"/>
    </row>
    <row r="207" ht="15.75" customHeight="1">
      <c r="A207" s="53"/>
      <c r="B207" s="21" t="b">
        <v>0</v>
      </c>
      <c r="C207" s="22">
        <v>5.0</v>
      </c>
      <c r="D207" s="23" t="s">
        <v>715</v>
      </c>
      <c r="E207" s="18"/>
      <c r="F207" s="18"/>
      <c r="G207" s="18"/>
      <c r="H207" s="19"/>
      <c r="I207" s="24" t="s">
        <v>716</v>
      </c>
      <c r="J207" s="18"/>
      <c r="K207" s="18"/>
      <c r="L207" s="19"/>
      <c r="M207" s="22" t="str">
        <f t="shared" si="25"/>
        <v>Público Pendente</v>
      </c>
      <c r="N207" s="53"/>
    </row>
    <row r="208" ht="15.75" customHeight="1">
      <c r="A208" s="53"/>
      <c r="B208" s="21" t="b">
        <v>0</v>
      </c>
      <c r="C208" s="22">
        <v>6.0</v>
      </c>
      <c r="D208" s="23" t="s">
        <v>718</v>
      </c>
      <c r="E208" s="18"/>
      <c r="F208" s="18"/>
      <c r="G208" s="18"/>
      <c r="H208" s="19"/>
      <c r="I208" s="24" t="s">
        <v>719</v>
      </c>
      <c r="J208" s="18"/>
      <c r="K208" s="18"/>
      <c r="L208" s="19"/>
      <c r="M208" s="22" t="str">
        <f t="shared" si="25"/>
        <v>Público Pendente</v>
      </c>
      <c r="N208" s="53"/>
    </row>
    <row r="209" ht="15.75" customHeight="1">
      <c r="A209" s="53"/>
      <c r="B209" s="23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53"/>
    </row>
    <row r="210" ht="15.75" customHeight="1">
      <c r="A210" s="53"/>
      <c r="B210" s="21" t="b">
        <v>0</v>
      </c>
      <c r="C210" s="22">
        <v>1.0</v>
      </c>
      <c r="D210" s="23" t="s">
        <v>721</v>
      </c>
      <c r="E210" s="18"/>
      <c r="F210" s="18"/>
      <c r="G210" s="18"/>
      <c r="H210" s="19"/>
      <c r="I210" s="24" t="s">
        <v>723</v>
      </c>
      <c r="J210" s="18"/>
      <c r="K210" s="18"/>
      <c r="L210" s="19"/>
      <c r="M210" s="22" t="str">
        <f t="shared" ref="M210:M215" si="26">IF(B210=TRUE,"Público Criado","Público Pendente")</f>
        <v>Público Pendente</v>
      </c>
      <c r="N210" s="53"/>
    </row>
    <row r="211" ht="15.75" customHeight="1">
      <c r="A211" s="53"/>
      <c r="B211" s="21" t="b">
        <v>0</v>
      </c>
      <c r="C211" s="22">
        <v>2.0</v>
      </c>
      <c r="D211" s="23" t="s">
        <v>725</v>
      </c>
      <c r="E211" s="18"/>
      <c r="F211" s="18"/>
      <c r="G211" s="18"/>
      <c r="H211" s="19"/>
      <c r="I211" s="24" t="s">
        <v>727</v>
      </c>
      <c r="J211" s="18"/>
      <c r="K211" s="18"/>
      <c r="L211" s="19"/>
      <c r="M211" s="22" t="str">
        <f t="shared" si="26"/>
        <v>Público Pendente</v>
      </c>
      <c r="N211" s="53"/>
    </row>
    <row r="212" ht="15.75" customHeight="1">
      <c r="A212" s="53"/>
      <c r="B212" s="21" t="b">
        <v>0</v>
      </c>
      <c r="C212" s="22">
        <v>3.0</v>
      </c>
      <c r="D212" s="23" t="s">
        <v>728</v>
      </c>
      <c r="E212" s="18"/>
      <c r="F212" s="18"/>
      <c r="G212" s="18"/>
      <c r="H212" s="19"/>
      <c r="I212" s="24" t="s">
        <v>729</v>
      </c>
      <c r="J212" s="18"/>
      <c r="K212" s="18"/>
      <c r="L212" s="19"/>
      <c r="M212" s="22" t="str">
        <f t="shared" si="26"/>
        <v>Público Pendente</v>
      </c>
      <c r="N212" s="53"/>
    </row>
    <row r="213" ht="15.75" customHeight="1">
      <c r="A213" s="53"/>
      <c r="B213" s="21" t="b">
        <v>0</v>
      </c>
      <c r="C213" s="22">
        <v>4.0</v>
      </c>
      <c r="D213" s="23" t="s">
        <v>730</v>
      </c>
      <c r="E213" s="18"/>
      <c r="F213" s="18"/>
      <c r="G213" s="18"/>
      <c r="H213" s="19"/>
      <c r="I213" s="24" t="s">
        <v>732</v>
      </c>
      <c r="J213" s="18"/>
      <c r="K213" s="18"/>
      <c r="L213" s="19"/>
      <c r="M213" s="22" t="str">
        <f t="shared" si="26"/>
        <v>Público Pendente</v>
      </c>
      <c r="N213" s="53"/>
    </row>
    <row r="214" ht="15.75" customHeight="1">
      <c r="A214" s="53"/>
      <c r="B214" s="21" t="b">
        <v>0</v>
      </c>
      <c r="C214" s="22">
        <v>5.0</v>
      </c>
      <c r="D214" s="23" t="s">
        <v>733</v>
      </c>
      <c r="E214" s="18"/>
      <c r="F214" s="18"/>
      <c r="G214" s="18"/>
      <c r="H214" s="19"/>
      <c r="I214" s="24" t="s">
        <v>734</v>
      </c>
      <c r="J214" s="18"/>
      <c r="K214" s="18"/>
      <c r="L214" s="19"/>
      <c r="M214" s="22" t="str">
        <f t="shared" si="26"/>
        <v>Público Pendente</v>
      </c>
      <c r="N214" s="53"/>
    </row>
    <row r="215" ht="15.75" customHeight="1">
      <c r="A215" s="53"/>
      <c r="B215" s="21" t="b">
        <v>0</v>
      </c>
      <c r="C215" s="22">
        <v>6.0</v>
      </c>
      <c r="D215" s="23" t="s">
        <v>736</v>
      </c>
      <c r="E215" s="18"/>
      <c r="F215" s="18"/>
      <c r="G215" s="18"/>
      <c r="H215" s="19"/>
      <c r="I215" s="24" t="s">
        <v>737</v>
      </c>
      <c r="J215" s="18"/>
      <c r="K215" s="18"/>
      <c r="L215" s="19"/>
      <c r="M215" s="22" t="str">
        <f t="shared" si="26"/>
        <v>Público Pendente</v>
      </c>
      <c r="N215" s="53"/>
    </row>
    <row r="216" ht="15.75" customHeight="1">
      <c r="A216" s="53"/>
      <c r="C216" s="14"/>
      <c r="N216" s="53"/>
    </row>
    <row r="217" ht="15.75" customHeight="1">
      <c r="A217" s="53"/>
      <c r="C217" s="14"/>
      <c r="N217" s="53"/>
    </row>
    <row r="218" ht="15.75" customHeight="1">
      <c r="A218" s="1"/>
      <c r="B218" s="15" t="s">
        <v>739</v>
      </c>
      <c r="N218" s="1"/>
    </row>
    <row r="219" ht="15.75" customHeight="1">
      <c r="A219" s="1"/>
      <c r="N219" s="1"/>
    </row>
    <row r="220" ht="15.75" customHeight="1">
      <c r="A220" s="1"/>
      <c r="N220" s="1"/>
    </row>
    <row r="221" ht="15.75" customHeight="1">
      <c r="A221" s="1"/>
      <c r="C221" s="14"/>
      <c r="N221" s="1"/>
    </row>
    <row r="222" ht="15.75" customHeight="1">
      <c r="A222" s="1"/>
      <c r="B222" s="16"/>
      <c r="C222" s="16" t="s">
        <v>4</v>
      </c>
      <c r="D222" s="17" t="s">
        <v>5</v>
      </c>
      <c r="E222" s="18"/>
      <c r="F222" s="18"/>
      <c r="G222" s="18"/>
      <c r="H222" s="19"/>
      <c r="I222" s="20" t="s">
        <v>6</v>
      </c>
      <c r="J222" s="18"/>
      <c r="K222" s="18"/>
      <c r="L222" s="19"/>
      <c r="M222" s="16" t="s">
        <v>7</v>
      </c>
      <c r="N222" s="1"/>
    </row>
    <row r="223" ht="15.75" customHeight="1">
      <c r="A223" s="1"/>
      <c r="B223" s="21" t="b">
        <v>0</v>
      </c>
      <c r="C223" s="22">
        <v>1.0</v>
      </c>
      <c r="D223" s="23" t="s">
        <v>741</v>
      </c>
      <c r="E223" s="18"/>
      <c r="F223" s="18"/>
      <c r="G223" s="18"/>
      <c r="H223" s="19"/>
      <c r="I223" s="24" t="s">
        <v>743</v>
      </c>
      <c r="J223" s="18"/>
      <c r="K223" s="18"/>
      <c r="L223" s="19"/>
      <c r="M223" s="22" t="str">
        <f t="shared" ref="M223:M228" si="27">IF(B223=TRUE,"Público Criado","Público Pendente")</f>
        <v>Público Pendente</v>
      </c>
      <c r="N223" s="1"/>
    </row>
    <row r="224" ht="15.75" customHeight="1">
      <c r="A224" s="1"/>
      <c r="B224" s="21" t="b">
        <v>0</v>
      </c>
      <c r="C224" s="22">
        <v>2.0</v>
      </c>
      <c r="D224" s="23" t="s">
        <v>745</v>
      </c>
      <c r="E224" s="18"/>
      <c r="F224" s="18"/>
      <c r="G224" s="18"/>
      <c r="H224" s="19"/>
      <c r="I224" s="24" t="s">
        <v>746</v>
      </c>
      <c r="J224" s="18"/>
      <c r="K224" s="18"/>
      <c r="L224" s="19"/>
      <c r="M224" s="22" t="str">
        <f t="shared" si="27"/>
        <v>Público Pendente</v>
      </c>
      <c r="N224" s="1"/>
    </row>
    <row r="225" ht="15.75" customHeight="1">
      <c r="A225" s="1"/>
      <c r="B225" s="21" t="b">
        <v>0</v>
      </c>
      <c r="C225" s="22">
        <v>3.0</v>
      </c>
      <c r="D225" s="23" t="s">
        <v>747</v>
      </c>
      <c r="E225" s="18"/>
      <c r="F225" s="18"/>
      <c r="G225" s="18"/>
      <c r="H225" s="19"/>
      <c r="I225" s="24" t="s">
        <v>748</v>
      </c>
      <c r="J225" s="18"/>
      <c r="K225" s="18"/>
      <c r="L225" s="19"/>
      <c r="M225" s="22" t="str">
        <f t="shared" si="27"/>
        <v>Público Pendente</v>
      </c>
      <c r="N225" s="1"/>
    </row>
    <row r="226" ht="15.75" customHeight="1">
      <c r="A226" s="1"/>
      <c r="B226" s="21" t="b">
        <v>0</v>
      </c>
      <c r="C226" s="22">
        <v>4.0</v>
      </c>
      <c r="D226" s="23" t="s">
        <v>749</v>
      </c>
      <c r="E226" s="18"/>
      <c r="F226" s="18"/>
      <c r="G226" s="18"/>
      <c r="H226" s="19"/>
      <c r="I226" s="24" t="s">
        <v>750</v>
      </c>
      <c r="J226" s="18"/>
      <c r="K226" s="18"/>
      <c r="L226" s="19"/>
      <c r="M226" s="22" t="str">
        <f t="shared" si="27"/>
        <v>Público Pendente</v>
      </c>
      <c r="N226" s="1"/>
    </row>
    <row r="227" ht="15.75" customHeight="1">
      <c r="A227" s="1"/>
      <c r="B227" s="21" t="b">
        <v>0</v>
      </c>
      <c r="C227" s="22">
        <v>5.0</v>
      </c>
      <c r="D227" s="23" t="s">
        <v>751</v>
      </c>
      <c r="E227" s="18"/>
      <c r="F227" s="18"/>
      <c r="G227" s="18"/>
      <c r="H227" s="19"/>
      <c r="I227" s="24" t="s">
        <v>753</v>
      </c>
      <c r="J227" s="18"/>
      <c r="K227" s="18"/>
      <c r="L227" s="19"/>
      <c r="M227" s="22" t="str">
        <f t="shared" si="27"/>
        <v>Público Pendente</v>
      </c>
      <c r="N227" s="1"/>
    </row>
    <row r="228" ht="15.75" customHeight="1">
      <c r="A228" s="1"/>
      <c r="B228" s="21" t="b">
        <v>0</v>
      </c>
      <c r="C228" s="22">
        <v>6.0</v>
      </c>
      <c r="D228" s="23" t="s">
        <v>755</v>
      </c>
      <c r="E228" s="18"/>
      <c r="F228" s="18"/>
      <c r="G228" s="18"/>
      <c r="H228" s="19"/>
      <c r="I228" s="24" t="s">
        <v>756</v>
      </c>
      <c r="J228" s="18"/>
      <c r="K228" s="18"/>
      <c r="L228" s="19"/>
      <c r="M228" s="22" t="str">
        <f t="shared" si="27"/>
        <v>Público Pendente</v>
      </c>
      <c r="N228" s="1"/>
    </row>
    <row r="229" ht="15.75" customHeight="1">
      <c r="A229" s="1"/>
      <c r="C229" s="14"/>
      <c r="N229" s="1"/>
    </row>
    <row r="230" ht="15.75" customHeight="1">
      <c r="A230" s="1"/>
      <c r="C230" s="14"/>
      <c r="N230" s="1"/>
    </row>
    <row r="231" ht="15.75" customHeight="1">
      <c r="A231" s="25"/>
      <c r="B231" s="26" t="s">
        <v>757</v>
      </c>
      <c r="N231" s="25"/>
    </row>
    <row r="232" ht="15.75" customHeight="1">
      <c r="A232" s="25"/>
      <c r="N232" s="25"/>
    </row>
    <row r="233" ht="15.75" customHeight="1">
      <c r="A233" s="25"/>
      <c r="N233" s="25"/>
    </row>
    <row r="234" ht="15.75" customHeight="1">
      <c r="A234" s="25"/>
      <c r="C234" s="14"/>
      <c r="N234" s="25"/>
    </row>
    <row r="235" ht="15.75" customHeight="1">
      <c r="A235" s="25"/>
      <c r="B235" s="27"/>
      <c r="C235" s="27" t="s">
        <v>4</v>
      </c>
      <c r="D235" s="28" t="s">
        <v>5</v>
      </c>
      <c r="E235" s="18"/>
      <c r="F235" s="18"/>
      <c r="G235" s="18"/>
      <c r="H235" s="19"/>
      <c r="I235" s="29" t="s">
        <v>6</v>
      </c>
      <c r="J235" s="18"/>
      <c r="K235" s="18"/>
      <c r="L235" s="19"/>
      <c r="M235" s="27" t="s">
        <v>7</v>
      </c>
      <c r="N235" s="25"/>
    </row>
    <row r="236" ht="15.75" customHeight="1">
      <c r="A236" s="25"/>
      <c r="B236" s="21" t="b">
        <v>0</v>
      </c>
      <c r="C236" s="22">
        <v>1.0</v>
      </c>
      <c r="D236" s="23" t="s">
        <v>762</v>
      </c>
      <c r="E236" s="18"/>
      <c r="F236" s="18"/>
      <c r="G236" s="18"/>
      <c r="H236" s="19"/>
      <c r="I236" s="24" t="s">
        <v>763</v>
      </c>
      <c r="J236" s="18"/>
      <c r="K236" s="18"/>
      <c r="L236" s="19"/>
      <c r="M236" s="22" t="str">
        <f t="shared" ref="M236:M241" si="28">IF(B236=TRUE,"Público Criado","Público Pendente")</f>
        <v>Público Pendente</v>
      </c>
      <c r="N236" s="25"/>
    </row>
    <row r="237" ht="15.75" customHeight="1">
      <c r="A237" s="25"/>
      <c r="B237" s="21" t="b">
        <v>0</v>
      </c>
      <c r="C237" s="22">
        <v>2.0</v>
      </c>
      <c r="D237" s="23" t="s">
        <v>766</v>
      </c>
      <c r="E237" s="18"/>
      <c r="F237" s="18"/>
      <c r="G237" s="18"/>
      <c r="H237" s="19"/>
      <c r="I237" s="24" t="s">
        <v>767</v>
      </c>
      <c r="J237" s="18"/>
      <c r="K237" s="18"/>
      <c r="L237" s="19"/>
      <c r="M237" s="22" t="str">
        <f t="shared" si="28"/>
        <v>Público Pendente</v>
      </c>
      <c r="N237" s="25"/>
    </row>
    <row r="238" ht="15.75" customHeight="1">
      <c r="A238" s="25"/>
      <c r="B238" s="21" t="b">
        <v>0</v>
      </c>
      <c r="C238" s="22">
        <v>3.0</v>
      </c>
      <c r="D238" s="23" t="s">
        <v>768</v>
      </c>
      <c r="E238" s="18"/>
      <c r="F238" s="18"/>
      <c r="G238" s="18"/>
      <c r="H238" s="19"/>
      <c r="I238" s="24" t="s">
        <v>771</v>
      </c>
      <c r="J238" s="18"/>
      <c r="K238" s="18"/>
      <c r="L238" s="19"/>
      <c r="M238" s="22" t="str">
        <f t="shared" si="28"/>
        <v>Público Pendente</v>
      </c>
      <c r="N238" s="25"/>
    </row>
    <row r="239" ht="15.75" customHeight="1">
      <c r="A239" s="25"/>
      <c r="B239" s="21" t="b">
        <v>0</v>
      </c>
      <c r="C239" s="22">
        <v>4.0</v>
      </c>
      <c r="D239" s="23" t="s">
        <v>772</v>
      </c>
      <c r="E239" s="18"/>
      <c r="F239" s="18"/>
      <c r="G239" s="18"/>
      <c r="H239" s="19"/>
      <c r="I239" s="24" t="s">
        <v>774</v>
      </c>
      <c r="J239" s="18"/>
      <c r="K239" s="18"/>
      <c r="L239" s="19"/>
      <c r="M239" s="22" t="str">
        <f t="shared" si="28"/>
        <v>Público Pendente</v>
      </c>
      <c r="N239" s="25"/>
    </row>
    <row r="240" ht="15.75" customHeight="1">
      <c r="A240" s="25"/>
      <c r="B240" s="21" t="b">
        <v>0</v>
      </c>
      <c r="C240" s="22">
        <v>5.0</v>
      </c>
      <c r="D240" s="23" t="s">
        <v>776</v>
      </c>
      <c r="E240" s="18"/>
      <c r="F240" s="18"/>
      <c r="G240" s="18"/>
      <c r="H240" s="19"/>
      <c r="I240" s="24" t="s">
        <v>777</v>
      </c>
      <c r="J240" s="18"/>
      <c r="K240" s="18"/>
      <c r="L240" s="19"/>
      <c r="M240" s="22" t="str">
        <f t="shared" si="28"/>
        <v>Público Pendente</v>
      </c>
      <c r="N240" s="25"/>
    </row>
    <row r="241" ht="15.75" customHeight="1">
      <c r="A241" s="25"/>
      <c r="B241" s="21" t="b">
        <v>0</v>
      </c>
      <c r="C241" s="22">
        <v>6.0</v>
      </c>
      <c r="D241" s="23" t="s">
        <v>780</v>
      </c>
      <c r="E241" s="18"/>
      <c r="F241" s="18"/>
      <c r="G241" s="18"/>
      <c r="H241" s="19"/>
      <c r="I241" s="24" t="s">
        <v>781</v>
      </c>
      <c r="J241" s="18"/>
      <c r="K241" s="18"/>
      <c r="L241" s="19"/>
      <c r="M241" s="22" t="str">
        <f t="shared" si="28"/>
        <v>Público Pendente</v>
      </c>
      <c r="N241" s="25"/>
    </row>
    <row r="242" ht="15.75" customHeight="1">
      <c r="A242" s="25"/>
      <c r="C242" s="14"/>
      <c r="N242" s="25"/>
    </row>
    <row r="243" ht="15.75" customHeight="1">
      <c r="A243" s="25"/>
      <c r="C243" s="14"/>
      <c r="N243" s="25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4">
    <mergeCell ref="D183:H183"/>
    <mergeCell ref="I183:L183"/>
    <mergeCell ref="D184:H184"/>
    <mergeCell ref="I184:L184"/>
    <mergeCell ref="D185:H185"/>
    <mergeCell ref="I185:L185"/>
    <mergeCell ref="I186:L186"/>
    <mergeCell ref="D186:H186"/>
    <mergeCell ref="D187:H187"/>
    <mergeCell ref="I187:L187"/>
    <mergeCell ref="B188:M188"/>
    <mergeCell ref="D189:H189"/>
    <mergeCell ref="I189:L189"/>
    <mergeCell ref="I190:L190"/>
    <mergeCell ref="D155:H155"/>
    <mergeCell ref="D156:H156"/>
    <mergeCell ref="I156:L156"/>
    <mergeCell ref="D157:H157"/>
    <mergeCell ref="I157:L157"/>
    <mergeCell ref="D158:H158"/>
    <mergeCell ref="I158:L158"/>
    <mergeCell ref="D159:H159"/>
    <mergeCell ref="I159:L159"/>
    <mergeCell ref="D160:H160"/>
    <mergeCell ref="I160:L160"/>
    <mergeCell ref="B163:M165"/>
    <mergeCell ref="D167:H167"/>
    <mergeCell ref="I167:L167"/>
    <mergeCell ref="D168:H168"/>
    <mergeCell ref="I168:L168"/>
    <mergeCell ref="D169:H169"/>
    <mergeCell ref="I169:L169"/>
    <mergeCell ref="D170:H170"/>
    <mergeCell ref="I170:L170"/>
    <mergeCell ref="I171:L171"/>
    <mergeCell ref="D171:H171"/>
    <mergeCell ref="D172:H172"/>
    <mergeCell ref="I172:L172"/>
    <mergeCell ref="D173:H173"/>
    <mergeCell ref="I173:L173"/>
    <mergeCell ref="B174:M174"/>
    <mergeCell ref="I175:L175"/>
    <mergeCell ref="D175:H175"/>
    <mergeCell ref="D176:H176"/>
    <mergeCell ref="I176:L176"/>
    <mergeCell ref="D177:H177"/>
    <mergeCell ref="I177:L177"/>
    <mergeCell ref="D178:H178"/>
    <mergeCell ref="I178:L178"/>
    <mergeCell ref="D179:H179"/>
    <mergeCell ref="I179:L179"/>
    <mergeCell ref="D180:H180"/>
    <mergeCell ref="I180:L180"/>
    <mergeCell ref="B181:M181"/>
    <mergeCell ref="D182:H182"/>
    <mergeCell ref="I182:L182"/>
    <mergeCell ref="D190:H190"/>
    <mergeCell ref="D191:H191"/>
    <mergeCell ref="I191:L191"/>
    <mergeCell ref="D192:H192"/>
    <mergeCell ref="I192:L192"/>
    <mergeCell ref="D193:H193"/>
    <mergeCell ref="I193:L193"/>
    <mergeCell ref="D222:H222"/>
    <mergeCell ref="I222:L222"/>
    <mergeCell ref="D223:H223"/>
    <mergeCell ref="I223:L223"/>
    <mergeCell ref="D224:H224"/>
    <mergeCell ref="I224:L224"/>
    <mergeCell ref="I225:L225"/>
    <mergeCell ref="D225:H225"/>
    <mergeCell ref="D226:H226"/>
    <mergeCell ref="I226:L226"/>
    <mergeCell ref="D227:H227"/>
    <mergeCell ref="I227:L227"/>
    <mergeCell ref="D228:H228"/>
    <mergeCell ref="I228:L228"/>
    <mergeCell ref="D194:H194"/>
    <mergeCell ref="I194:L194"/>
    <mergeCell ref="B195:M195"/>
    <mergeCell ref="D196:H196"/>
    <mergeCell ref="I196:L196"/>
    <mergeCell ref="D197:H197"/>
    <mergeCell ref="I197:L197"/>
    <mergeCell ref="D198:H198"/>
    <mergeCell ref="I198:L198"/>
    <mergeCell ref="D199:H199"/>
    <mergeCell ref="I199:L199"/>
    <mergeCell ref="D200:H200"/>
    <mergeCell ref="I200:L200"/>
    <mergeCell ref="I201:L201"/>
    <mergeCell ref="D201:H201"/>
    <mergeCell ref="B202:M202"/>
    <mergeCell ref="D203:H203"/>
    <mergeCell ref="I203:L203"/>
    <mergeCell ref="D204:H204"/>
    <mergeCell ref="I204:L204"/>
    <mergeCell ref="I205:L205"/>
    <mergeCell ref="D208:H208"/>
    <mergeCell ref="D210:H210"/>
    <mergeCell ref="D211:H211"/>
    <mergeCell ref="D212:H212"/>
    <mergeCell ref="D213:H213"/>
    <mergeCell ref="D214:H214"/>
    <mergeCell ref="D215:H215"/>
    <mergeCell ref="D205:H205"/>
    <mergeCell ref="D206:H206"/>
    <mergeCell ref="I206:L206"/>
    <mergeCell ref="D207:H207"/>
    <mergeCell ref="I207:L207"/>
    <mergeCell ref="I208:L208"/>
    <mergeCell ref="B209:M209"/>
    <mergeCell ref="I210:L210"/>
    <mergeCell ref="I211:L211"/>
    <mergeCell ref="I212:L212"/>
    <mergeCell ref="I213:L213"/>
    <mergeCell ref="I214:L214"/>
    <mergeCell ref="I215:L215"/>
    <mergeCell ref="B218:M220"/>
    <mergeCell ref="D238:H238"/>
    <mergeCell ref="I238:L238"/>
    <mergeCell ref="D239:H239"/>
    <mergeCell ref="I239:L239"/>
    <mergeCell ref="D240:H240"/>
    <mergeCell ref="I240:L240"/>
    <mergeCell ref="D241:H241"/>
    <mergeCell ref="I241:L241"/>
    <mergeCell ref="B231:M233"/>
    <mergeCell ref="D235:H235"/>
    <mergeCell ref="I235:L235"/>
    <mergeCell ref="D236:H236"/>
    <mergeCell ref="I236:L236"/>
    <mergeCell ref="D237:H237"/>
    <mergeCell ref="I237:L237"/>
    <mergeCell ref="B2:M4"/>
    <mergeCell ref="B5:M7"/>
    <mergeCell ref="B10:M12"/>
    <mergeCell ref="D14:H14"/>
    <mergeCell ref="I14:L14"/>
    <mergeCell ref="D15:H15"/>
    <mergeCell ref="I15:L15"/>
    <mergeCell ref="D16:H16"/>
    <mergeCell ref="I16:L16"/>
    <mergeCell ref="D17:H17"/>
    <mergeCell ref="I17:L17"/>
    <mergeCell ref="D18:H18"/>
    <mergeCell ref="I18:L18"/>
    <mergeCell ref="I19:L19"/>
    <mergeCell ref="D19:H19"/>
    <mergeCell ref="B20:M20"/>
    <mergeCell ref="D21:H21"/>
    <mergeCell ref="I21:L21"/>
    <mergeCell ref="D22:H22"/>
    <mergeCell ref="I22:L22"/>
    <mergeCell ref="I23:L23"/>
    <mergeCell ref="I28:L28"/>
    <mergeCell ref="I29:L29"/>
    <mergeCell ref="I30:L30"/>
    <mergeCell ref="I31:L31"/>
    <mergeCell ref="I32:L32"/>
    <mergeCell ref="I33:L33"/>
    <mergeCell ref="B34:M34"/>
    <mergeCell ref="I35:L35"/>
    <mergeCell ref="D23:H23"/>
    <mergeCell ref="D24:H24"/>
    <mergeCell ref="I24:L24"/>
    <mergeCell ref="D25:H25"/>
    <mergeCell ref="I25:L25"/>
    <mergeCell ref="I26:L26"/>
    <mergeCell ref="B27:M27"/>
    <mergeCell ref="D26:H26"/>
    <mergeCell ref="D28:H28"/>
    <mergeCell ref="D29:H29"/>
    <mergeCell ref="D30:H30"/>
    <mergeCell ref="D31:H31"/>
    <mergeCell ref="D32:H32"/>
    <mergeCell ref="D33:H33"/>
    <mergeCell ref="D35:H35"/>
    <mergeCell ref="D36:H36"/>
    <mergeCell ref="I36:L36"/>
    <mergeCell ref="D37:H37"/>
    <mergeCell ref="I37:L37"/>
    <mergeCell ref="D38:H38"/>
    <mergeCell ref="I38:L38"/>
    <mergeCell ref="D66:H66"/>
    <mergeCell ref="B69:M71"/>
    <mergeCell ref="D73:H73"/>
    <mergeCell ref="I73:L73"/>
    <mergeCell ref="D74:H74"/>
    <mergeCell ref="I74:L74"/>
    <mergeCell ref="I75:L75"/>
    <mergeCell ref="D75:H75"/>
    <mergeCell ref="D76:H76"/>
    <mergeCell ref="I76:L76"/>
    <mergeCell ref="D77:H77"/>
    <mergeCell ref="I77:L77"/>
    <mergeCell ref="B78:M78"/>
    <mergeCell ref="I79:L79"/>
    <mergeCell ref="D39:H39"/>
    <mergeCell ref="I39:L39"/>
    <mergeCell ref="D40:H40"/>
    <mergeCell ref="I40:L40"/>
    <mergeCell ref="B43:M45"/>
    <mergeCell ref="D47:H47"/>
    <mergeCell ref="I47:L47"/>
    <mergeCell ref="D48:H48"/>
    <mergeCell ref="I48:L48"/>
    <mergeCell ref="D49:H49"/>
    <mergeCell ref="I49:L49"/>
    <mergeCell ref="D50:H50"/>
    <mergeCell ref="I50:L50"/>
    <mergeCell ref="I51:L51"/>
    <mergeCell ref="D51:H51"/>
    <mergeCell ref="D52:H52"/>
    <mergeCell ref="I52:L52"/>
    <mergeCell ref="B53:M53"/>
    <mergeCell ref="D54:H54"/>
    <mergeCell ref="I54:L54"/>
    <mergeCell ref="I55:L55"/>
    <mergeCell ref="D55:H55"/>
    <mergeCell ref="D56:H56"/>
    <mergeCell ref="I56:L56"/>
    <mergeCell ref="D57:H57"/>
    <mergeCell ref="I57:L57"/>
    <mergeCell ref="D58:H58"/>
    <mergeCell ref="I58:L58"/>
    <mergeCell ref="D59:H59"/>
    <mergeCell ref="I59:L59"/>
    <mergeCell ref="B60:M60"/>
    <mergeCell ref="D61:H61"/>
    <mergeCell ref="I61:L61"/>
    <mergeCell ref="D62:H62"/>
    <mergeCell ref="I62:L62"/>
    <mergeCell ref="D63:H63"/>
    <mergeCell ref="I63:L63"/>
    <mergeCell ref="D64:H64"/>
    <mergeCell ref="I64:L64"/>
    <mergeCell ref="D65:H65"/>
    <mergeCell ref="I65:L65"/>
    <mergeCell ref="I66:L66"/>
    <mergeCell ref="D79:H79"/>
    <mergeCell ref="D80:H80"/>
    <mergeCell ref="I80:L80"/>
    <mergeCell ref="D81:H81"/>
    <mergeCell ref="I81:L81"/>
    <mergeCell ref="D82:H82"/>
    <mergeCell ref="I82:L82"/>
    <mergeCell ref="D105:H105"/>
    <mergeCell ref="B106:M106"/>
    <mergeCell ref="D107:H107"/>
    <mergeCell ref="I107:L107"/>
    <mergeCell ref="D108:H108"/>
    <mergeCell ref="I108:L108"/>
    <mergeCell ref="I109:L109"/>
    <mergeCell ref="D109:H109"/>
    <mergeCell ref="D110:H110"/>
    <mergeCell ref="I110:L110"/>
    <mergeCell ref="D111:H111"/>
    <mergeCell ref="I111:L111"/>
    <mergeCell ref="I112:L112"/>
    <mergeCell ref="B113:M113"/>
    <mergeCell ref="D83:H83"/>
    <mergeCell ref="I83:L83"/>
    <mergeCell ref="D84:H84"/>
    <mergeCell ref="I84:L84"/>
    <mergeCell ref="B85:M85"/>
    <mergeCell ref="D86:H86"/>
    <mergeCell ref="I86:L86"/>
    <mergeCell ref="D87:H87"/>
    <mergeCell ref="I87:L87"/>
    <mergeCell ref="D88:H88"/>
    <mergeCell ref="I88:L88"/>
    <mergeCell ref="D89:H89"/>
    <mergeCell ref="I89:L89"/>
    <mergeCell ref="I90:L90"/>
    <mergeCell ref="D90:H90"/>
    <mergeCell ref="D91:H91"/>
    <mergeCell ref="I91:L91"/>
    <mergeCell ref="B92:M92"/>
    <mergeCell ref="D93:H93"/>
    <mergeCell ref="I93:L93"/>
    <mergeCell ref="I94:L94"/>
    <mergeCell ref="D94:H94"/>
    <mergeCell ref="D95:H95"/>
    <mergeCell ref="I95:L95"/>
    <mergeCell ref="D96:H96"/>
    <mergeCell ref="I96:L96"/>
    <mergeCell ref="D97:H97"/>
    <mergeCell ref="I97:L97"/>
    <mergeCell ref="D98:H98"/>
    <mergeCell ref="I98:L98"/>
    <mergeCell ref="B99:M99"/>
    <mergeCell ref="D100:H100"/>
    <mergeCell ref="I100:L100"/>
    <mergeCell ref="D101:H101"/>
    <mergeCell ref="I101:L101"/>
    <mergeCell ref="D102:H102"/>
    <mergeCell ref="I102:L102"/>
    <mergeCell ref="D103:H103"/>
    <mergeCell ref="I103:L103"/>
    <mergeCell ref="D104:H104"/>
    <mergeCell ref="I104:L104"/>
    <mergeCell ref="I105:L105"/>
    <mergeCell ref="D112:H112"/>
    <mergeCell ref="D114:H114"/>
    <mergeCell ref="I114:L114"/>
    <mergeCell ref="D115:H115"/>
    <mergeCell ref="I115:L115"/>
    <mergeCell ref="D116:H116"/>
    <mergeCell ref="I116:L116"/>
    <mergeCell ref="D139:H139"/>
    <mergeCell ref="B140:M140"/>
    <mergeCell ref="D141:H141"/>
    <mergeCell ref="I141:L141"/>
    <mergeCell ref="D142:H142"/>
    <mergeCell ref="I142:L142"/>
    <mergeCell ref="I143:L143"/>
    <mergeCell ref="D143:H143"/>
    <mergeCell ref="D144:H144"/>
    <mergeCell ref="I144:L144"/>
    <mergeCell ref="D145:H145"/>
    <mergeCell ref="I145:L145"/>
    <mergeCell ref="I146:L146"/>
    <mergeCell ref="B147:M147"/>
    <mergeCell ref="D117:H117"/>
    <mergeCell ref="I117:L117"/>
    <mergeCell ref="D118:H118"/>
    <mergeCell ref="I118:L118"/>
    <mergeCell ref="D119:H119"/>
    <mergeCell ref="I119:L119"/>
    <mergeCell ref="B120:M120"/>
    <mergeCell ref="D124:H124"/>
    <mergeCell ref="D125:H125"/>
    <mergeCell ref="I125:L125"/>
    <mergeCell ref="D126:H126"/>
    <mergeCell ref="I126:L126"/>
    <mergeCell ref="R126:V126"/>
    <mergeCell ref="W126:Z126"/>
    <mergeCell ref="D121:H121"/>
    <mergeCell ref="I121:L121"/>
    <mergeCell ref="D122:H122"/>
    <mergeCell ref="I122:L122"/>
    <mergeCell ref="D123:H123"/>
    <mergeCell ref="I123:L123"/>
    <mergeCell ref="I124:L124"/>
    <mergeCell ref="B129:M131"/>
    <mergeCell ref="D133:H133"/>
    <mergeCell ref="I133:L133"/>
    <mergeCell ref="D134:H134"/>
    <mergeCell ref="I134:L134"/>
    <mergeCell ref="D135:H135"/>
    <mergeCell ref="I135:L135"/>
    <mergeCell ref="D136:H136"/>
    <mergeCell ref="I136:L136"/>
    <mergeCell ref="D137:H137"/>
    <mergeCell ref="I137:L137"/>
    <mergeCell ref="D138:H138"/>
    <mergeCell ref="I138:L138"/>
    <mergeCell ref="I139:L139"/>
    <mergeCell ref="I148:L148"/>
    <mergeCell ref="I149:L149"/>
    <mergeCell ref="I150:L150"/>
    <mergeCell ref="I151:L151"/>
    <mergeCell ref="I152:L152"/>
    <mergeCell ref="I153:L153"/>
    <mergeCell ref="B154:M154"/>
    <mergeCell ref="I155:L155"/>
    <mergeCell ref="D146:H146"/>
    <mergeCell ref="D148:H148"/>
    <mergeCell ref="D149:H149"/>
    <mergeCell ref="D150:H150"/>
    <mergeCell ref="D151:H151"/>
    <mergeCell ref="D152:H152"/>
    <mergeCell ref="D153:H153"/>
  </mergeCells>
  <conditionalFormatting sqref="M15:M19 M21:M26 M28:M33 M35:M40 M48:M52 M54:M59 M61:M66 M74:M77 M79:M84 M86:M91 M93:M98 M100:M105 M107:M112 M114:M119 M121:M126 M134:M139 M141:M146 M148:M153 M155:M160 M168:M173 M175:M180 M182:M187 M189:M194 M196:M201 M203:M208 M210:M215 M223:M228 M236:M241">
    <cfRule type="containsText" dxfId="0" priority="1" operator="containsText" text="Público Criado">
      <formula>NOT(ISERROR(SEARCH(("Público Criado"),(M15))))</formula>
    </cfRule>
  </conditionalFormatting>
  <conditionalFormatting sqref="M15:M19 M21:M26 M28:M33 M35:M40 M48:M52 M54:M59 M61:M66 M74:M77 M79:M84 M86:M91 M93:M98 M100:M105 M107:M112 M114:M119 M121:M126 M134:M139 M141:M146 M148:M153 M155:M160 M168:M173 M175:M180 M182:M187 M189:M194 M196:M201 M203:M208 M210:M215 M223:M228 M236:M241">
    <cfRule type="containsText" dxfId="1" priority="2" operator="containsText" text="Público Pendente">
      <formula>NOT(ISERROR(SEARCH(("Público Pendente"),(M15))))</formula>
    </cfRule>
  </conditionalFormatting>
  <conditionalFormatting sqref="M1 M8:M9 M13:M19 M21:M26 M28:M33 M35:M42 M46:M52 M54:M59 M61:M68 M72:M77 M79:M84 M86:M91 M93:M98 M100:M105 M107:M112 M114:M119 M121:M128 M132:M139 M141:M146 M148:M153 M155:M162 M166:M173 M175:M180 M182:M187 M189:M194 M196:M201 M203:M208 M210:M217 M221:M230 M234:M243 AA126">
    <cfRule type="containsText" dxfId="1" priority="3" operator="containsText" text="Atrasado">
      <formula>NOT(ISERROR(SEARCH(("Atrasado"),(M1))))</formula>
    </cfRule>
  </conditionalFormatting>
  <conditionalFormatting sqref="M1 M8:M9 M13:M19 M21:M26 M28:M33 M35:M42 M46:M52 M54:M59 M61:M68 M72:M77 M79:M84 M86:M91 M93:M98 M100:M105 M107:M112 M114:M119 M121:M128 M132:M139 M141:M146 M148:M153 M155:M162 M166:M173 M175:M180 M182:M187 M189:M194 M196:M201 M203:M208 M210:M217 M221:M230 M234:M243 AA126">
    <cfRule type="containsText" dxfId="2" priority="4" operator="containsText" text="Faltam">
      <formula>NOT(ISERROR(SEARCH(("Faltam"),(M1))))</formula>
    </cfRule>
  </conditionalFormatting>
  <conditionalFormatting sqref="M1 M8:M9 M13:M19 M21:M26 M28:M33 M35:M42 M46:M52 M54:M59 M61:M68 M72:M77 M79:M84 M86:M91 M93:M98 M100:M105 M107:M112 M114:M119 M121:M128 M132:M139 M141:M146 M148:M153 M155:M162 M166:M173 M175:M180 M182:M187 M189:M194 M196:M201 M203:M208 M210:M217 M221:M230 M234:M243 AA126">
    <cfRule type="containsText" dxfId="2" priority="5" operator="containsText" text="É pra">
      <formula>NOT(ISERROR(SEARCH(("É pra"),(M1))))</formula>
    </cfRule>
  </conditionalFormatting>
  <conditionalFormatting sqref="M1 M8:M9 M13:M19 M21:M26 M28:M33 M35:M42 M46:M52 M54:M59 M61:M68 M72:M77 M79:M84 M86:M91 M93:M98 M100:M105 M107:M112 M114:M119 M121:M128 M132:M139 M141:M146 M148:M153 M155:M162 M166:M173 M175:M180 M182:M187 M189:M194 M196:M201 M203:M208 M210:M217 M221:M230 M234:M243 AA126">
    <cfRule type="containsText" dxfId="0" priority="6" operator="containsText" text="Atividade Concluída">
      <formula>NOT(ISERROR(SEARCH(("Atividade Concluída"),(M1))))</formula>
    </cfRule>
  </conditionalFormatting>
  <conditionalFormatting sqref="M1 M8:M9 M13:M19 M21:M26 M28:M33 M35:M42 M46:M52 M54:M59 M61:M68 M72:M77 M79:M84 M86:M91 M93:M98 M100:M105 M107:M112 M114:M119 M121:M128 M132:M139 M141:M146 M148:M153 M155:M162 M166:M173 M175:M180 M182:M187 M189:M194 M196:M201 M203:M208 M210:M217 M221:M230 M234:M243 AA126">
    <cfRule type="containsText" dxfId="3" priority="7" operator="containsText" text="Pendente">
      <formula>NOT(ISERROR(SEARCH(("Pendente"),(M1))))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8" width="9.38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234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237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1.0</v>
      </c>
      <c r="D15" s="23" t="s">
        <v>242</v>
      </c>
      <c r="E15" s="18"/>
      <c r="F15" s="18"/>
      <c r="G15" s="18"/>
      <c r="H15" s="19"/>
      <c r="I15" s="24" t="s">
        <v>243</v>
      </c>
      <c r="J15" s="18"/>
      <c r="K15" s="18"/>
      <c r="L15" s="19"/>
      <c r="M15" s="22" t="str">
        <f t="shared" ref="M15:M17" si="1">IF(B15=TRUE,"Público Criado","Público Pendente")</f>
        <v>Público Pendente</v>
      </c>
      <c r="N15" s="1"/>
    </row>
    <row r="16" ht="15.75" customHeight="1">
      <c r="A16" s="1"/>
      <c r="B16" s="21" t="b">
        <v>0</v>
      </c>
      <c r="C16" s="22">
        <v>2.0</v>
      </c>
      <c r="D16" s="23" t="s">
        <v>246</v>
      </c>
      <c r="E16" s="18"/>
      <c r="F16" s="18"/>
      <c r="G16" s="18"/>
      <c r="H16" s="19"/>
      <c r="I16" s="24" t="s">
        <v>247</v>
      </c>
      <c r="J16" s="18"/>
      <c r="K16" s="18"/>
      <c r="L16" s="19"/>
      <c r="M16" s="22" t="str">
        <f t="shared" si="1"/>
        <v>Público Pendente</v>
      </c>
      <c r="N16" s="1"/>
    </row>
    <row r="17" ht="15.75" customHeight="1">
      <c r="A17" s="1"/>
      <c r="B17" s="21" t="b">
        <v>0</v>
      </c>
      <c r="C17" s="22">
        <v>3.0</v>
      </c>
      <c r="D17" s="23" t="s">
        <v>249</v>
      </c>
      <c r="E17" s="18"/>
      <c r="F17" s="18"/>
      <c r="G17" s="18"/>
      <c r="H17" s="19"/>
      <c r="I17" s="24" t="s">
        <v>251</v>
      </c>
      <c r="J17" s="18"/>
      <c r="K17" s="18"/>
      <c r="L17" s="19"/>
      <c r="M17" s="22" t="str">
        <f t="shared" si="1"/>
        <v>Público Pendente</v>
      </c>
      <c r="N17" s="1"/>
    </row>
    <row r="18" ht="15.75" customHeight="1">
      <c r="A18" s="1"/>
      <c r="C18" s="14"/>
      <c r="N18" s="1"/>
    </row>
    <row r="19" ht="15.75" customHeight="1">
      <c r="A19" s="1"/>
      <c r="C19" s="14"/>
      <c r="N19" s="1"/>
    </row>
    <row r="20" ht="15.75" customHeight="1">
      <c r="A20" s="25"/>
      <c r="B20" s="26" t="s">
        <v>252</v>
      </c>
      <c r="N20" s="25"/>
    </row>
    <row r="21" ht="15.75" customHeight="1">
      <c r="A21" s="25"/>
      <c r="N21" s="25"/>
    </row>
    <row r="22" ht="15.75" customHeight="1">
      <c r="A22" s="25"/>
      <c r="N22" s="25"/>
    </row>
    <row r="23" ht="15.75" customHeight="1">
      <c r="A23" s="25"/>
      <c r="C23" s="14"/>
      <c r="N23" s="25"/>
    </row>
    <row r="24" ht="15.75" customHeight="1">
      <c r="A24" s="25"/>
      <c r="B24" s="27"/>
      <c r="C24" s="27" t="s">
        <v>4</v>
      </c>
      <c r="D24" s="28" t="s">
        <v>5</v>
      </c>
      <c r="E24" s="18"/>
      <c r="F24" s="18"/>
      <c r="G24" s="18"/>
      <c r="H24" s="19"/>
      <c r="I24" s="29" t="s">
        <v>6</v>
      </c>
      <c r="J24" s="18"/>
      <c r="K24" s="18"/>
      <c r="L24" s="19"/>
      <c r="M24" s="27" t="s">
        <v>7</v>
      </c>
      <c r="N24" s="25"/>
    </row>
    <row r="25" ht="15.75" customHeight="1">
      <c r="A25" s="25"/>
      <c r="B25" s="21" t="b">
        <v>0</v>
      </c>
      <c r="C25" s="22">
        <v>1.0</v>
      </c>
      <c r="D25" s="23" t="s">
        <v>255</v>
      </c>
      <c r="E25" s="18"/>
      <c r="F25" s="18"/>
      <c r="G25" s="18"/>
      <c r="H25" s="19"/>
      <c r="I25" s="24" t="s">
        <v>257</v>
      </c>
      <c r="J25" s="18"/>
      <c r="K25" s="18"/>
      <c r="L25" s="19"/>
      <c r="M25" s="22" t="str">
        <f t="shared" ref="M25:M27" si="2">IF(B25=TRUE,"Público Criado","Público Pendente")</f>
        <v>Público Pendente</v>
      </c>
      <c r="N25" s="25"/>
    </row>
    <row r="26" ht="15.75" customHeight="1">
      <c r="A26" s="25"/>
      <c r="B26" s="21" t="b">
        <v>0</v>
      </c>
      <c r="C26" s="22">
        <v>2.0</v>
      </c>
      <c r="D26" s="23" t="s">
        <v>259</v>
      </c>
      <c r="E26" s="18"/>
      <c r="F26" s="18"/>
      <c r="G26" s="18"/>
      <c r="H26" s="19"/>
      <c r="I26" s="24" t="s">
        <v>260</v>
      </c>
      <c r="J26" s="18"/>
      <c r="K26" s="18"/>
      <c r="L26" s="19"/>
      <c r="M26" s="22" t="str">
        <f t="shared" si="2"/>
        <v>Público Pendente</v>
      </c>
      <c r="N26" s="25"/>
    </row>
    <row r="27" ht="15.75" customHeight="1">
      <c r="A27" s="25"/>
      <c r="B27" s="21" t="b">
        <v>0</v>
      </c>
      <c r="C27" s="22">
        <v>3.0</v>
      </c>
      <c r="D27" s="23" t="s">
        <v>262</v>
      </c>
      <c r="E27" s="18"/>
      <c r="F27" s="18"/>
      <c r="G27" s="18"/>
      <c r="H27" s="19"/>
      <c r="I27" s="24" t="s">
        <v>263</v>
      </c>
      <c r="J27" s="18"/>
      <c r="K27" s="18"/>
      <c r="L27" s="19"/>
      <c r="M27" s="22" t="str">
        <f t="shared" si="2"/>
        <v>Público Pendente</v>
      </c>
      <c r="N27" s="25"/>
    </row>
    <row r="28" ht="15.75" customHeight="1">
      <c r="A28" s="25"/>
      <c r="C28" s="14"/>
      <c r="N28" s="25"/>
    </row>
    <row r="29" ht="15.75" customHeight="1">
      <c r="A29" s="25"/>
      <c r="C29" s="14"/>
      <c r="N29" s="25"/>
    </row>
    <row r="30" ht="15.75" customHeight="1">
      <c r="A30" s="30"/>
      <c r="B30" s="31" t="s">
        <v>264</v>
      </c>
      <c r="N30" s="30"/>
    </row>
    <row r="31" ht="15.75" customHeight="1">
      <c r="A31" s="30"/>
      <c r="N31" s="30"/>
    </row>
    <row r="32" ht="15.75" customHeight="1">
      <c r="A32" s="30"/>
      <c r="N32" s="30"/>
    </row>
    <row r="33" ht="15.75" customHeight="1">
      <c r="A33" s="30"/>
      <c r="C33" s="14"/>
      <c r="N33" s="30"/>
    </row>
    <row r="34" ht="15.75" customHeight="1">
      <c r="A34" s="30"/>
      <c r="B34" s="32"/>
      <c r="C34" s="32" t="s">
        <v>4</v>
      </c>
      <c r="D34" s="33" t="s">
        <v>5</v>
      </c>
      <c r="E34" s="18"/>
      <c r="F34" s="18"/>
      <c r="G34" s="18"/>
      <c r="H34" s="19"/>
      <c r="I34" s="34" t="s">
        <v>6</v>
      </c>
      <c r="J34" s="18"/>
      <c r="K34" s="18"/>
      <c r="L34" s="19"/>
      <c r="M34" s="32" t="s">
        <v>7</v>
      </c>
      <c r="N34" s="30"/>
    </row>
    <row r="35" ht="15.75" customHeight="1">
      <c r="A35" s="30"/>
      <c r="B35" s="21" t="b">
        <v>0</v>
      </c>
      <c r="C35" s="22">
        <v>1.0</v>
      </c>
      <c r="D35" s="23" t="s">
        <v>268</v>
      </c>
      <c r="E35" s="18"/>
      <c r="F35" s="18"/>
      <c r="G35" s="18"/>
      <c r="H35" s="19"/>
      <c r="I35" s="24" t="s">
        <v>269</v>
      </c>
      <c r="J35" s="18"/>
      <c r="K35" s="18"/>
      <c r="L35" s="19"/>
      <c r="M35" s="22" t="str">
        <f t="shared" ref="M35:M37" si="3">IF(B35=TRUE,"Público Criado","Público Pendente")</f>
        <v>Público Pendente</v>
      </c>
      <c r="N35" s="30"/>
    </row>
    <row r="36" ht="15.75" customHeight="1">
      <c r="A36" s="30"/>
      <c r="B36" s="21" t="b">
        <v>0</v>
      </c>
      <c r="C36" s="22">
        <v>2.0</v>
      </c>
      <c r="D36" s="23" t="s">
        <v>272</v>
      </c>
      <c r="E36" s="18"/>
      <c r="F36" s="18"/>
      <c r="G36" s="18"/>
      <c r="H36" s="19"/>
      <c r="I36" s="24" t="s">
        <v>273</v>
      </c>
      <c r="J36" s="18"/>
      <c r="K36" s="18"/>
      <c r="L36" s="19"/>
      <c r="M36" s="22" t="str">
        <f t="shared" si="3"/>
        <v>Público Pendente</v>
      </c>
      <c r="N36" s="30"/>
    </row>
    <row r="37" ht="15.75" customHeight="1">
      <c r="A37" s="30"/>
      <c r="B37" s="21" t="b">
        <v>0</v>
      </c>
      <c r="C37" s="22">
        <v>3.0</v>
      </c>
      <c r="D37" s="23" t="s">
        <v>274</v>
      </c>
      <c r="E37" s="18"/>
      <c r="F37" s="18"/>
      <c r="G37" s="18"/>
      <c r="H37" s="19"/>
      <c r="I37" s="24" t="s">
        <v>275</v>
      </c>
      <c r="J37" s="18"/>
      <c r="K37" s="18"/>
      <c r="L37" s="19"/>
      <c r="M37" s="22" t="str">
        <f t="shared" si="3"/>
        <v>Público Pendente</v>
      </c>
      <c r="N37" s="30"/>
    </row>
    <row r="38" ht="15.75" customHeight="1">
      <c r="A38" s="30"/>
      <c r="C38" s="14"/>
      <c r="N38" s="30"/>
    </row>
    <row r="39" ht="15.75" customHeight="1">
      <c r="A39" s="30"/>
      <c r="C39" s="14"/>
      <c r="N39" s="30"/>
    </row>
    <row r="40" ht="15.0" hidden="1" customHeight="1">
      <c r="A40" s="1"/>
      <c r="C40" s="14"/>
      <c r="N40" s="1"/>
    </row>
    <row r="41" ht="15.75" hidden="1" customHeight="1">
      <c r="A41" s="1"/>
      <c r="C41" s="14"/>
      <c r="N41" s="1"/>
    </row>
    <row r="42" ht="15.75" hidden="1" customHeight="1">
      <c r="A42" s="1"/>
      <c r="C42" s="14"/>
      <c r="N42" s="1"/>
    </row>
    <row r="43" ht="15.75" hidden="1" customHeight="1">
      <c r="A43" s="1"/>
      <c r="C43" s="14"/>
      <c r="N43" s="1"/>
    </row>
    <row r="44" ht="15.75" hidden="1" customHeight="1">
      <c r="A44" s="1"/>
      <c r="C44" s="14"/>
      <c r="N44" s="1"/>
    </row>
    <row r="45" ht="15.75" hidden="1" customHeight="1">
      <c r="A45" s="1"/>
      <c r="C45" s="14"/>
      <c r="N45" s="1"/>
    </row>
    <row r="46" ht="15.75" hidden="1" customHeight="1">
      <c r="A46" s="1"/>
      <c r="C46" s="14"/>
      <c r="N46" s="1"/>
    </row>
    <row r="47" ht="15.75" hidden="1" customHeight="1">
      <c r="A47" s="1"/>
      <c r="C47" s="14"/>
      <c r="N47" s="1"/>
    </row>
    <row r="48" ht="15.75" hidden="1" customHeight="1">
      <c r="A48" s="1"/>
      <c r="C48" s="14"/>
      <c r="N48" s="1"/>
    </row>
    <row r="49" ht="15.75" hidden="1" customHeight="1">
      <c r="A49" s="1"/>
      <c r="C49" s="14"/>
      <c r="N49" s="1"/>
    </row>
    <row r="50" ht="15.75" hidden="1" customHeight="1">
      <c r="A50" s="1"/>
      <c r="C50" s="14"/>
      <c r="N50" s="1"/>
    </row>
    <row r="51" ht="15.75" hidden="1" customHeight="1">
      <c r="A51" s="1"/>
      <c r="C51" s="14"/>
      <c r="N51" s="1"/>
    </row>
    <row r="52" ht="15.75" hidden="1" customHeight="1">
      <c r="A52" s="1"/>
      <c r="C52" s="14"/>
      <c r="N52" s="1"/>
    </row>
    <row r="53" ht="15.75" hidden="1" customHeight="1">
      <c r="A53" s="1"/>
      <c r="C53" s="14"/>
      <c r="N53" s="1"/>
    </row>
    <row r="54" ht="15.75" hidden="1" customHeight="1">
      <c r="A54" s="1"/>
      <c r="C54" s="14"/>
      <c r="N54" s="1"/>
    </row>
    <row r="55" ht="15.75" hidden="1" customHeight="1">
      <c r="A55" s="1"/>
      <c r="C55" s="14"/>
      <c r="N55" s="1"/>
    </row>
    <row r="56" ht="15.75" hidden="1" customHeight="1">
      <c r="A56" s="1"/>
      <c r="C56" s="14"/>
      <c r="N56" s="1"/>
    </row>
    <row r="57" ht="15.75" hidden="1" customHeight="1">
      <c r="A57" s="1"/>
      <c r="C57" s="14"/>
      <c r="N57" s="1"/>
    </row>
    <row r="58" ht="15.75" hidden="1" customHeight="1">
      <c r="A58" s="1"/>
      <c r="C58" s="14"/>
      <c r="N58" s="1"/>
    </row>
    <row r="59" ht="15.75" hidden="1" customHeight="1">
      <c r="A59" s="1"/>
      <c r="C59" s="14"/>
      <c r="N59" s="1"/>
    </row>
    <row r="60" ht="15.75" hidden="1" customHeight="1">
      <c r="A60" s="1"/>
      <c r="C60" s="14"/>
      <c r="N60" s="1"/>
    </row>
    <row r="61" ht="15.75" hidden="1" customHeight="1">
      <c r="A61" s="1"/>
      <c r="C61" s="14"/>
      <c r="N61" s="1"/>
    </row>
    <row r="62" ht="15.75" hidden="1" customHeight="1">
      <c r="A62" s="1"/>
      <c r="C62" s="14"/>
      <c r="N62" s="1"/>
    </row>
    <row r="63" ht="15.75" hidden="1" customHeight="1">
      <c r="A63" s="1"/>
      <c r="C63" s="14"/>
      <c r="N63" s="1"/>
    </row>
    <row r="64" ht="15.75" hidden="1" customHeight="1">
      <c r="A64" s="1"/>
      <c r="C64" s="14"/>
      <c r="N64" s="1"/>
    </row>
    <row r="65" ht="15.75" hidden="1" customHeight="1">
      <c r="A65" s="1"/>
      <c r="C65" s="14"/>
      <c r="N65" s="1"/>
    </row>
    <row r="66" ht="15.75" hidden="1" customHeight="1">
      <c r="A66" s="1"/>
      <c r="C66" s="14"/>
      <c r="N66" s="1"/>
    </row>
    <row r="67" ht="15.75" hidden="1" customHeight="1">
      <c r="A67" s="1"/>
      <c r="C67" s="14"/>
      <c r="N67" s="1"/>
    </row>
    <row r="68" ht="15.75" hidden="1" customHeight="1">
      <c r="A68" s="1"/>
      <c r="C68" s="14"/>
      <c r="N68" s="1"/>
    </row>
    <row r="69" ht="15.75" hidden="1" customHeight="1">
      <c r="A69" s="1"/>
      <c r="C69" s="14"/>
      <c r="N69" s="1"/>
    </row>
    <row r="70" ht="15.75" hidden="1" customHeight="1">
      <c r="A70" s="1"/>
      <c r="C70" s="14"/>
      <c r="N70" s="1"/>
    </row>
    <row r="71" ht="15.75" hidden="1" customHeight="1">
      <c r="A71" s="1"/>
      <c r="C71" s="14"/>
      <c r="N71" s="1"/>
    </row>
    <row r="72" ht="15.75" hidden="1" customHeight="1">
      <c r="A72" s="1"/>
      <c r="C72" s="14"/>
      <c r="N72" s="1"/>
    </row>
    <row r="73" ht="15.75" hidden="1" customHeight="1">
      <c r="A73" s="1"/>
      <c r="C73" s="14"/>
      <c r="N73" s="1"/>
    </row>
    <row r="74" ht="15.75" hidden="1" customHeight="1">
      <c r="A74" s="1"/>
      <c r="C74" s="14"/>
      <c r="N74" s="1"/>
    </row>
    <row r="75" ht="15.75" hidden="1" customHeight="1">
      <c r="A75" s="1"/>
      <c r="C75" s="14"/>
      <c r="N75" s="1"/>
    </row>
    <row r="76" ht="15.75" hidden="1" customHeight="1">
      <c r="A76" s="1"/>
      <c r="C76" s="14"/>
      <c r="N76" s="1"/>
    </row>
    <row r="77" ht="15.75" hidden="1" customHeight="1">
      <c r="A77" s="1"/>
      <c r="C77" s="14"/>
      <c r="N77" s="1"/>
    </row>
    <row r="78" ht="15.75" hidden="1" customHeight="1">
      <c r="A78" s="1"/>
      <c r="C78" s="14"/>
      <c r="N78" s="1"/>
    </row>
    <row r="79" ht="15.75" hidden="1" customHeight="1">
      <c r="A79" s="1"/>
      <c r="C79" s="14"/>
      <c r="N79" s="1"/>
    </row>
    <row r="80" ht="15.75" hidden="1" customHeight="1">
      <c r="A80" s="1"/>
      <c r="C80" s="14"/>
      <c r="N80" s="1"/>
    </row>
    <row r="81" ht="15.75" hidden="1" customHeight="1">
      <c r="A81" s="1"/>
      <c r="C81" s="14"/>
      <c r="N81" s="1"/>
    </row>
    <row r="82" ht="15.75" hidden="1" customHeight="1">
      <c r="A82" s="1"/>
      <c r="C82" s="14"/>
      <c r="N82" s="1"/>
    </row>
    <row r="83" ht="15.75" hidden="1" customHeight="1">
      <c r="A83" s="1"/>
      <c r="C83" s="14"/>
      <c r="N83" s="1"/>
    </row>
    <row r="84" ht="15.75" hidden="1" customHeight="1">
      <c r="A84" s="1"/>
      <c r="C84" s="14"/>
      <c r="N84" s="1"/>
    </row>
    <row r="85" ht="15.75" hidden="1" customHeight="1">
      <c r="A85" s="1"/>
      <c r="C85" s="14"/>
      <c r="N85" s="1"/>
    </row>
    <row r="86" ht="15.75" hidden="1" customHeight="1">
      <c r="A86" s="1"/>
      <c r="C86" s="14"/>
      <c r="N86" s="1"/>
    </row>
    <row r="87" ht="15.75" hidden="1" customHeight="1">
      <c r="A87" s="1"/>
      <c r="C87" s="14"/>
      <c r="N87" s="1"/>
    </row>
    <row r="88" ht="15.75" hidden="1" customHeight="1">
      <c r="A88" s="1"/>
      <c r="C88" s="14"/>
      <c r="N88" s="1"/>
    </row>
    <row r="89" ht="15.75" hidden="1" customHeight="1">
      <c r="A89" s="1"/>
      <c r="C89" s="14"/>
      <c r="N89" s="1"/>
    </row>
    <row r="90" ht="15.75" hidden="1" customHeight="1">
      <c r="A90" s="1"/>
      <c r="C90" s="14"/>
      <c r="N90" s="1"/>
    </row>
    <row r="91" ht="15.75" hidden="1" customHeight="1">
      <c r="A91" s="1"/>
      <c r="C91" s="14"/>
      <c r="N91" s="1"/>
    </row>
    <row r="92" ht="15.75" hidden="1" customHeight="1">
      <c r="A92" s="1"/>
      <c r="C92" s="14"/>
      <c r="N92" s="1"/>
    </row>
    <row r="93" ht="15.75" hidden="1" customHeight="1">
      <c r="A93" s="1"/>
      <c r="C93" s="14"/>
      <c r="N93" s="1"/>
    </row>
    <row r="94" ht="15.75" hidden="1" customHeight="1">
      <c r="A94" s="1"/>
      <c r="C94" s="14"/>
      <c r="N94" s="1"/>
    </row>
    <row r="95" ht="15.75" hidden="1" customHeight="1">
      <c r="A95" s="1"/>
      <c r="C95" s="14"/>
      <c r="N95" s="1"/>
    </row>
    <row r="96" ht="15.75" hidden="1" customHeight="1">
      <c r="A96" s="1"/>
      <c r="C96" s="14"/>
      <c r="N96" s="1"/>
    </row>
    <row r="97" ht="15.75" hidden="1" customHeight="1">
      <c r="A97" s="1"/>
      <c r="C97" s="14"/>
      <c r="N97" s="1"/>
    </row>
    <row r="98" ht="15.75" hidden="1" customHeight="1">
      <c r="A98" s="1"/>
      <c r="C98" s="14"/>
      <c r="N98" s="1"/>
    </row>
    <row r="99" ht="15.75" hidden="1" customHeight="1">
      <c r="A99" s="1"/>
      <c r="C99" s="14"/>
      <c r="N99" s="1"/>
    </row>
    <row r="100" ht="15.75" hidden="1" customHeight="1">
      <c r="A100" s="1"/>
      <c r="C100" s="14"/>
      <c r="N100" s="1"/>
    </row>
    <row r="101" ht="15.75" hidden="1" customHeight="1">
      <c r="A101" s="1"/>
      <c r="C101" s="14"/>
      <c r="N101" s="1"/>
    </row>
    <row r="102" ht="15.75" hidden="1" customHeight="1">
      <c r="A102" s="1"/>
      <c r="C102" s="14"/>
      <c r="N102" s="1"/>
    </row>
    <row r="103" ht="15.75" hidden="1" customHeight="1">
      <c r="A103" s="1"/>
      <c r="C103" s="14"/>
      <c r="N103" s="1"/>
    </row>
    <row r="104" ht="15.75" hidden="1" customHeight="1">
      <c r="A104" s="1"/>
      <c r="C104" s="14"/>
      <c r="N104" s="1"/>
    </row>
    <row r="105" ht="15.75" hidden="1" customHeight="1">
      <c r="A105" s="1"/>
      <c r="C105" s="14"/>
      <c r="N105" s="1"/>
    </row>
    <row r="106" ht="15.75" hidden="1" customHeight="1">
      <c r="A106" s="1"/>
      <c r="C106" s="14"/>
      <c r="N106" s="1"/>
    </row>
    <row r="107" ht="15.75" hidden="1" customHeight="1">
      <c r="A107" s="1"/>
      <c r="C107" s="14"/>
      <c r="N107" s="1"/>
    </row>
    <row r="108" ht="15.75" hidden="1" customHeight="1">
      <c r="A108" s="1"/>
      <c r="C108" s="14"/>
      <c r="N108" s="1"/>
    </row>
    <row r="109" ht="15.75" hidden="1" customHeight="1">
      <c r="A109" s="1"/>
      <c r="C109" s="14"/>
      <c r="N109" s="1"/>
    </row>
    <row r="110" ht="15.75" hidden="1" customHeight="1">
      <c r="A110" s="1"/>
      <c r="C110" s="14"/>
      <c r="N110" s="1"/>
    </row>
    <row r="111" ht="15.75" hidden="1" customHeight="1">
      <c r="A111" s="1"/>
      <c r="C111" s="14"/>
      <c r="N111" s="1"/>
    </row>
    <row r="112" ht="15.75" hidden="1" customHeight="1">
      <c r="A112" s="1"/>
      <c r="C112" s="14"/>
      <c r="N112" s="1"/>
    </row>
    <row r="113" ht="15.75" hidden="1" customHeight="1">
      <c r="A113" s="1"/>
      <c r="C113" s="14"/>
      <c r="N113" s="1"/>
    </row>
    <row r="114" ht="15.75" hidden="1" customHeight="1">
      <c r="A114" s="1"/>
      <c r="C114" s="14"/>
      <c r="N114" s="1"/>
    </row>
    <row r="115" ht="15.75" hidden="1" customHeight="1">
      <c r="A115" s="1"/>
      <c r="C115" s="14"/>
      <c r="N115" s="1"/>
    </row>
    <row r="116" ht="15.75" hidden="1" customHeight="1">
      <c r="A116" s="1"/>
      <c r="C116" s="14"/>
      <c r="N116" s="1"/>
    </row>
    <row r="117" ht="15.75" hidden="1" customHeight="1">
      <c r="A117" s="1"/>
      <c r="C117" s="14"/>
      <c r="N117" s="1"/>
    </row>
    <row r="118" ht="15.75" hidden="1" customHeight="1">
      <c r="A118" s="1"/>
      <c r="C118" s="14"/>
      <c r="N118" s="1"/>
    </row>
    <row r="119" ht="15.75" hidden="1" customHeight="1">
      <c r="A119" s="1"/>
      <c r="C119" s="14"/>
      <c r="N119" s="1"/>
    </row>
    <row r="120" ht="15.75" hidden="1" customHeight="1">
      <c r="A120" s="1"/>
      <c r="C120" s="14"/>
      <c r="N120" s="1"/>
    </row>
    <row r="121" ht="15.75" hidden="1" customHeight="1">
      <c r="A121" s="1"/>
      <c r="C121" s="14"/>
      <c r="N121" s="1"/>
    </row>
    <row r="122" ht="15.75" hidden="1" customHeight="1">
      <c r="A122" s="1"/>
      <c r="C122" s="14"/>
      <c r="N122" s="1"/>
    </row>
    <row r="123" ht="15.75" hidden="1" customHeight="1">
      <c r="A123" s="1"/>
      <c r="C123" s="14"/>
      <c r="N123" s="1"/>
    </row>
    <row r="124" ht="15.75" hidden="1" customHeight="1">
      <c r="A124" s="1"/>
      <c r="C124" s="14"/>
      <c r="N124" s="1"/>
    </row>
    <row r="125" ht="15.75" hidden="1" customHeight="1">
      <c r="A125" s="1"/>
      <c r="C125" s="14"/>
      <c r="N125" s="1"/>
    </row>
    <row r="126" ht="15.75" hidden="1" customHeight="1">
      <c r="A126" s="1"/>
      <c r="C126" s="14"/>
      <c r="N126" s="1"/>
    </row>
    <row r="127" ht="15.75" hidden="1" customHeight="1">
      <c r="A127" s="1"/>
      <c r="C127" s="14"/>
      <c r="N127" s="1"/>
    </row>
    <row r="128" ht="15.75" hidden="1" customHeight="1">
      <c r="A128" s="1"/>
      <c r="C128" s="14"/>
      <c r="N128" s="1"/>
    </row>
    <row r="129" ht="15.75" hidden="1" customHeight="1">
      <c r="A129" s="1"/>
      <c r="C129" s="14"/>
      <c r="N129" s="1"/>
    </row>
    <row r="130" ht="15.75" hidden="1" customHeight="1">
      <c r="A130" s="1"/>
      <c r="C130" s="14"/>
      <c r="N130" s="1"/>
    </row>
    <row r="131" ht="15.75" hidden="1" customHeight="1">
      <c r="A131" s="1"/>
      <c r="C131" s="14"/>
      <c r="N131" s="1"/>
    </row>
    <row r="132" ht="15.75" hidden="1" customHeight="1">
      <c r="A132" s="1"/>
      <c r="C132" s="14"/>
      <c r="N132" s="1"/>
    </row>
    <row r="133" ht="15.75" hidden="1" customHeight="1">
      <c r="A133" s="1"/>
      <c r="C133" s="14"/>
      <c r="N133" s="1"/>
    </row>
    <row r="134" ht="15.75" hidden="1" customHeight="1">
      <c r="A134" s="1"/>
      <c r="C134" s="14"/>
      <c r="N134" s="1"/>
    </row>
    <row r="135" ht="15.75" hidden="1" customHeight="1">
      <c r="A135" s="1"/>
      <c r="C135" s="14"/>
      <c r="N135" s="1"/>
    </row>
    <row r="136" ht="15.75" hidden="1" customHeight="1">
      <c r="A136" s="1"/>
      <c r="C136" s="14"/>
      <c r="N136" s="1"/>
    </row>
    <row r="137" ht="15.75" hidden="1" customHeight="1">
      <c r="A137" s="1"/>
      <c r="C137" s="14"/>
      <c r="N137" s="1"/>
    </row>
    <row r="138" ht="15.75" hidden="1" customHeight="1">
      <c r="A138" s="1"/>
      <c r="C138" s="14"/>
      <c r="N138" s="1"/>
    </row>
    <row r="139" ht="15.75" hidden="1" customHeight="1">
      <c r="A139" s="1"/>
      <c r="C139" s="14"/>
      <c r="N139" s="1"/>
    </row>
    <row r="140" ht="15.75" hidden="1" customHeight="1">
      <c r="A140" s="1"/>
      <c r="C140" s="14"/>
      <c r="N140" s="1"/>
    </row>
    <row r="141" ht="15.75" hidden="1" customHeight="1">
      <c r="A141" s="1"/>
      <c r="C141" s="14"/>
      <c r="N141" s="1"/>
    </row>
    <row r="142" ht="15.75" hidden="1" customHeight="1">
      <c r="A142" s="1"/>
      <c r="C142" s="14"/>
      <c r="N142" s="1"/>
    </row>
    <row r="143" ht="15.75" hidden="1" customHeight="1">
      <c r="A143" s="1"/>
      <c r="C143" s="14"/>
      <c r="N143" s="1"/>
    </row>
    <row r="144" ht="15.75" hidden="1" customHeight="1">
      <c r="A144" s="1"/>
      <c r="C144" s="14"/>
      <c r="N144" s="1"/>
    </row>
    <row r="145" ht="15.75" hidden="1" customHeight="1">
      <c r="A145" s="1"/>
      <c r="C145" s="14"/>
      <c r="N145" s="1"/>
    </row>
    <row r="146" ht="15.75" hidden="1" customHeight="1">
      <c r="A146" s="1"/>
      <c r="C146" s="14"/>
      <c r="N146" s="1"/>
    </row>
    <row r="147" ht="15.75" hidden="1" customHeight="1">
      <c r="A147" s="1"/>
      <c r="C147" s="14"/>
      <c r="N147" s="1"/>
    </row>
    <row r="148" ht="15.75" hidden="1" customHeight="1">
      <c r="A148" s="1"/>
      <c r="C148" s="14"/>
      <c r="N148" s="1"/>
    </row>
    <row r="149" ht="15.75" hidden="1" customHeight="1">
      <c r="A149" s="1"/>
      <c r="C149" s="14"/>
      <c r="N149" s="1"/>
    </row>
    <row r="150" ht="15.75" hidden="1" customHeight="1">
      <c r="A150" s="1"/>
      <c r="C150" s="14"/>
      <c r="N150" s="1"/>
    </row>
    <row r="151" ht="15.75" hidden="1" customHeight="1">
      <c r="A151" s="1"/>
      <c r="C151" s="14"/>
      <c r="N151" s="1"/>
    </row>
    <row r="152" ht="15.75" hidden="1" customHeight="1">
      <c r="A152" s="1"/>
      <c r="C152" s="14"/>
      <c r="N152" s="1"/>
    </row>
    <row r="153" ht="15.75" hidden="1" customHeight="1">
      <c r="A153" s="1"/>
      <c r="C153" s="14"/>
      <c r="N153" s="1"/>
    </row>
    <row r="154" ht="15.75" hidden="1" customHeight="1">
      <c r="A154" s="1"/>
      <c r="C154" s="14"/>
      <c r="N154" s="1"/>
    </row>
    <row r="155" ht="15.75" hidden="1" customHeight="1">
      <c r="A155" s="1"/>
      <c r="C155" s="14"/>
      <c r="N155" s="1"/>
    </row>
    <row r="156" ht="15.75" hidden="1" customHeight="1">
      <c r="A156" s="1"/>
      <c r="C156" s="14"/>
      <c r="N156" s="1"/>
    </row>
    <row r="157" ht="15.75" hidden="1" customHeight="1">
      <c r="A157" s="1"/>
      <c r="C157" s="14"/>
      <c r="N157" s="1"/>
    </row>
    <row r="158" ht="15.75" hidden="1" customHeight="1">
      <c r="A158" s="1"/>
      <c r="C158" s="14"/>
      <c r="N158" s="1"/>
    </row>
    <row r="159" ht="15.75" hidden="1" customHeight="1">
      <c r="A159" s="1"/>
      <c r="C159" s="14"/>
      <c r="N159" s="1"/>
    </row>
    <row r="160" ht="15.75" hidden="1" customHeight="1">
      <c r="A160" s="1"/>
      <c r="C160" s="14"/>
      <c r="N160" s="1"/>
    </row>
    <row r="161" ht="15.75" hidden="1" customHeight="1">
      <c r="A161" s="1"/>
      <c r="C161" s="14"/>
      <c r="N161" s="1"/>
    </row>
    <row r="162" ht="15.75" hidden="1" customHeight="1">
      <c r="A162" s="1"/>
      <c r="C162" s="14"/>
      <c r="N162" s="1"/>
    </row>
    <row r="163" ht="15.75" hidden="1" customHeight="1">
      <c r="A163" s="1"/>
      <c r="C163" s="14"/>
      <c r="N163" s="1"/>
    </row>
    <row r="164" ht="15.75" hidden="1" customHeight="1">
      <c r="A164" s="1"/>
      <c r="C164" s="14"/>
      <c r="N164" s="1"/>
    </row>
    <row r="165" ht="15.75" hidden="1" customHeight="1">
      <c r="A165" s="1"/>
      <c r="C165" s="14"/>
      <c r="N165" s="1"/>
    </row>
    <row r="166" ht="15.75" hidden="1" customHeight="1">
      <c r="A166" s="1"/>
      <c r="C166" s="14"/>
      <c r="N166" s="1"/>
    </row>
    <row r="167" ht="15.75" hidden="1" customHeight="1">
      <c r="A167" s="1"/>
      <c r="C167" s="14"/>
      <c r="N167" s="1"/>
    </row>
    <row r="168" ht="15.75" hidden="1" customHeight="1">
      <c r="A168" s="1"/>
      <c r="C168" s="14"/>
      <c r="N168" s="1"/>
    </row>
    <row r="169" ht="15.75" hidden="1" customHeight="1">
      <c r="A169" s="1"/>
      <c r="C169" s="14"/>
      <c r="N169" s="1"/>
    </row>
    <row r="170" ht="15.75" hidden="1" customHeight="1">
      <c r="A170" s="1"/>
      <c r="C170" s="14"/>
      <c r="N170" s="1"/>
    </row>
    <row r="171" ht="15.75" hidden="1" customHeight="1">
      <c r="A171" s="1"/>
      <c r="C171" s="14"/>
      <c r="N171" s="1"/>
    </row>
    <row r="172" ht="15.75" hidden="1" customHeight="1">
      <c r="A172" s="1"/>
      <c r="C172" s="14"/>
      <c r="N172" s="1"/>
    </row>
    <row r="173" ht="15.75" hidden="1" customHeight="1">
      <c r="A173" s="1"/>
      <c r="C173" s="14"/>
      <c r="N173" s="1"/>
    </row>
    <row r="174" ht="15.75" hidden="1" customHeight="1">
      <c r="A174" s="1"/>
      <c r="C174" s="14"/>
      <c r="N174" s="1"/>
    </row>
    <row r="175" ht="15.75" hidden="1" customHeight="1">
      <c r="A175" s="1"/>
      <c r="C175" s="14"/>
      <c r="N175" s="1"/>
    </row>
    <row r="176" ht="15.75" hidden="1" customHeight="1">
      <c r="A176" s="1"/>
      <c r="C176" s="14"/>
      <c r="N176" s="1"/>
    </row>
    <row r="177" ht="15.75" hidden="1" customHeight="1">
      <c r="A177" s="1"/>
      <c r="C177" s="14"/>
      <c r="N177" s="1"/>
    </row>
    <row r="178" ht="15.75" hidden="1" customHeight="1">
      <c r="A178" s="1"/>
      <c r="C178" s="14"/>
      <c r="N178" s="1"/>
    </row>
    <row r="179" ht="15.75" hidden="1" customHeight="1">
      <c r="A179" s="1"/>
      <c r="C179" s="14"/>
      <c r="N179" s="1"/>
    </row>
    <row r="180" ht="15.75" hidden="1" customHeight="1">
      <c r="A180" s="1"/>
      <c r="C180" s="14"/>
      <c r="N180" s="1"/>
    </row>
    <row r="181" ht="15.75" hidden="1" customHeight="1">
      <c r="A181" s="1"/>
      <c r="C181" s="14"/>
      <c r="N181" s="1"/>
    </row>
    <row r="182" ht="15.75" hidden="1" customHeight="1">
      <c r="A182" s="1"/>
      <c r="C182" s="14"/>
      <c r="N182" s="1"/>
    </row>
    <row r="183" ht="15.75" hidden="1" customHeight="1">
      <c r="A183" s="1"/>
      <c r="C183" s="14"/>
      <c r="N183" s="1"/>
    </row>
    <row r="184" ht="15.75" hidden="1" customHeight="1">
      <c r="A184" s="1"/>
      <c r="C184" s="14"/>
      <c r="N184" s="1"/>
    </row>
    <row r="185" ht="15.75" hidden="1" customHeight="1">
      <c r="A185" s="1"/>
      <c r="C185" s="14"/>
      <c r="N185" s="1"/>
    </row>
    <row r="186" ht="15.75" hidden="1" customHeight="1">
      <c r="A186" s="1"/>
      <c r="C186" s="14"/>
      <c r="N186" s="1"/>
    </row>
    <row r="187" ht="15.75" hidden="1" customHeight="1">
      <c r="A187" s="1"/>
      <c r="C187" s="14"/>
      <c r="N187" s="1"/>
    </row>
    <row r="188" ht="15.75" hidden="1" customHeight="1">
      <c r="A188" s="1"/>
      <c r="C188" s="14"/>
      <c r="N188" s="1"/>
    </row>
    <row r="189" ht="15.75" hidden="1" customHeight="1">
      <c r="A189" s="1"/>
      <c r="C189" s="14"/>
      <c r="N189" s="1"/>
    </row>
    <row r="190" ht="15.75" hidden="1" customHeight="1">
      <c r="A190" s="1"/>
      <c r="C190" s="14"/>
      <c r="N190" s="1"/>
    </row>
    <row r="191" ht="15.75" hidden="1" customHeight="1">
      <c r="A191" s="1"/>
      <c r="C191" s="14"/>
      <c r="N191" s="1"/>
    </row>
    <row r="192" ht="15.75" hidden="1" customHeight="1">
      <c r="A192" s="1"/>
      <c r="C192" s="14"/>
      <c r="N192" s="1"/>
    </row>
    <row r="193" ht="15.75" hidden="1" customHeight="1">
      <c r="A193" s="1"/>
      <c r="C193" s="14"/>
      <c r="N193" s="1"/>
    </row>
    <row r="194" ht="15.75" hidden="1" customHeight="1">
      <c r="A194" s="1"/>
      <c r="C194" s="14"/>
      <c r="N194" s="1"/>
    </row>
    <row r="195" ht="15.75" hidden="1" customHeight="1">
      <c r="A195" s="1"/>
      <c r="C195" s="14"/>
      <c r="N195" s="1"/>
    </row>
    <row r="196" ht="15.75" hidden="1" customHeight="1">
      <c r="A196" s="1"/>
      <c r="C196" s="14"/>
      <c r="N196" s="1"/>
    </row>
    <row r="197" ht="15.75" hidden="1" customHeight="1">
      <c r="A197" s="1"/>
      <c r="C197" s="14"/>
      <c r="N197" s="1"/>
    </row>
    <row r="198" ht="15.75" hidden="1" customHeight="1">
      <c r="A198" s="1"/>
      <c r="C198" s="14"/>
      <c r="N198" s="1"/>
    </row>
    <row r="199" ht="15.75" hidden="1" customHeight="1">
      <c r="A199" s="1"/>
      <c r="C199" s="14"/>
      <c r="N199" s="1"/>
    </row>
    <row r="200" ht="15.75" hidden="1" customHeight="1">
      <c r="A200" s="1"/>
      <c r="C200" s="14"/>
      <c r="N200" s="1"/>
    </row>
    <row r="201" ht="15.75" hidden="1" customHeight="1">
      <c r="A201" s="1"/>
      <c r="C201" s="14"/>
      <c r="N201" s="1"/>
    </row>
    <row r="202" ht="15.75" hidden="1" customHeight="1">
      <c r="A202" s="1"/>
      <c r="C202" s="14"/>
      <c r="N202" s="1"/>
    </row>
    <row r="203" ht="15.75" hidden="1" customHeight="1">
      <c r="A203" s="1"/>
      <c r="C203" s="14"/>
      <c r="N203" s="1"/>
    </row>
    <row r="204" ht="15.75" hidden="1" customHeight="1">
      <c r="A204" s="1"/>
      <c r="C204" s="14"/>
      <c r="N204" s="1"/>
    </row>
    <row r="205" ht="15.75" hidden="1" customHeight="1">
      <c r="A205" s="1"/>
      <c r="C205" s="14"/>
      <c r="N205" s="1"/>
    </row>
    <row r="206" ht="15.75" hidden="1" customHeight="1">
      <c r="A206" s="1"/>
      <c r="C206" s="14"/>
      <c r="N206" s="1"/>
    </row>
    <row r="207" ht="15.75" hidden="1" customHeight="1">
      <c r="A207" s="1"/>
      <c r="C207" s="14"/>
      <c r="N207" s="1"/>
    </row>
    <row r="208" ht="15.75" hidden="1" customHeight="1">
      <c r="A208" s="1"/>
      <c r="C208" s="14"/>
      <c r="N208" s="1"/>
    </row>
    <row r="209" ht="15.75" hidden="1" customHeight="1">
      <c r="A209" s="1"/>
      <c r="C209" s="14"/>
      <c r="N209" s="1"/>
    </row>
    <row r="210" ht="15.75" hidden="1" customHeight="1">
      <c r="A210" s="1"/>
      <c r="C210" s="14"/>
      <c r="N210" s="1"/>
    </row>
    <row r="211" ht="15.75" hidden="1" customHeight="1">
      <c r="A211" s="1"/>
      <c r="C211" s="14"/>
      <c r="N211" s="1"/>
    </row>
    <row r="212" ht="15.75" hidden="1" customHeight="1">
      <c r="A212" s="1"/>
      <c r="C212" s="14"/>
      <c r="N212" s="1"/>
    </row>
    <row r="213" ht="15.75" hidden="1" customHeight="1">
      <c r="A213" s="1"/>
      <c r="C213" s="14"/>
      <c r="N213" s="1"/>
    </row>
    <row r="214" ht="15.75" hidden="1" customHeight="1">
      <c r="A214" s="1"/>
      <c r="C214" s="14"/>
      <c r="N214" s="1"/>
    </row>
    <row r="215" ht="15.75" hidden="1" customHeight="1">
      <c r="A215" s="1"/>
      <c r="C215" s="14"/>
      <c r="N215" s="1"/>
    </row>
    <row r="216" ht="15.75" hidden="1" customHeight="1">
      <c r="A216" s="1"/>
      <c r="C216" s="14"/>
      <c r="N216" s="1"/>
    </row>
    <row r="217" ht="15.75" hidden="1" customHeight="1">
      <c r="A217" s="1"/>
      <c r="C217" s="14"/>
      <c r="N217" s="1"/>
    </row>
    <row r="218" ht="15.75" hidden="1" customHeight="1">
      <c r="A218" s="1"/>
      <c r="C218" s="14"/>
      <c r="N218" s="1"/>
    </row>
    <row r="219" ht="15.75" hidden="1" customHeight="1">
      <c r="A219" s="1"/>
      <c r="C219" s="14"/>
      <c r="N219" s="1"/>
    </row>
    <row r="220" ht="15.75" hidden="1" customHeight="1">
      <c r="A220" s="1"/>
      <c r="C220" s="14"/>
      <c r="N220" s="1"/>
    </row>
    <row r="221" ht="15.75" hidden="1" customHeight="1">
      <c r="A221" s="1"/>
      <c r="C221" s="14"/>
      <c r="N221" s="1"/>
    </row>
    <row r="222" ht="15.75" hidden="1" customHeight="1">
      <c r="A222" s="1"/>
      <c r="C222" s="14"/>
      <c r="N222" s="1"/>
    </row>
    <row r="223" ht="15.75" hidden="1" customHeight="1">
      <c r="A223" s="1"/>
      <c r="C223" s="14"/>
      <c r="N223" s="1"/>
    </row>
    <row r="224" ht="15.75" hidden="1" customHeight="1">
      <c r="A224" s="1"/>
      <c r="C224" s="14"/>
      <c r="N224" s="1"/>
    </row>
    <row r="225" ht="15.75" hidden="1" customHeight="1">
      <c r="A225" s="1"/>
      <c r="C225" s="14"/>
      <c r="N225" s="1"/>
    </row>
    <row r="226" ht="15.75" hidden="1" customHeight="1">
      <c r="A226" s="1"/>
      <c r="C226" s="14"/>
      <c r="N226" s="1"/>
    </row>
    <row r="227" ht="15.75" hidden="1" customHeight="1">
      <c r="A227" s="1"/>
      <c r="C227" s="14"/>
      <c r="N227" s="1"/>
    </row>
    <row r="228" ht="15.75" hidden="1" customHeight="1">
      <c r="A228" s="1"/>
      <c r="C228" s="14"/>
      <c r="N228" s="1"/>
    </row>
    <row r="229" ht="15.75" hidden="1" customHeight="1">
      <c r="A229" s="1"/>
      <c r="C229" s="14"/>
      <c r="N229" s="1"/>
    </row>
    <row r="230" ht="15.75" hidden="1" customHeight="1">
      <c r="A230" s="1"/>
      <c r="C230" s="14"/>
      <c r="N230" s="1"/>
    </row>
    <row r="231" ht="15.75" hidden="1" customHeight="1">
      <c r="A231" s="1"/>
      <c r="C231" s="14"/>
      <c r="N231" s="1"/>
    </row>
    <row r="232" ht="15.75" hidden="1" customHeight="1">
      <c r="A232" s="1"/>
      <c r="C232" s="14"/>
      <c r="N232" s="1"/>
    </row>
    <row r="233" ht="15.75" hidden="1" customHeight="1">
      <c r="A233" s="1"/>
      <c r="C233" s="14"/>
      <c r="N233" s="1"/>
    </row>
    <row r="234" ht="15.75" hidden="1" customHeight="1">
      <c r="A234" s="1"/>
      <c r="C234" s="14"/>
      <c r="N234" s="1"/>
    </row>
    <row r="235" ht="15.75" hidden="1" customHeight="1">
      <c r="A235" s="1"/>
      <c r="C235" s="14"/>
      <c r="N235" s="1"/>
    </row>
    <row r="236" ht="15.75" hidden="1" customHeight="1">
      <c r="A236" s="1"/>
      <c r="C236" s="14"/>
      <c r="N236" s="1"/>
    </row>
    <row r="237" ht="15.75" hidden="1" customHeight="1">
      <c r="A237" s="1"/>
      <c r="C237" s="14"/>
      <c r="N237" s="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B2:M4"/>
    <mergeCell ref="B5:M7"/>
    <mergeCell ref="B10:M12"/>
    <mergeCell ref="D14:H14"/>
    <mergeCell ref="I14:L14"/>
    <mergeCell ref="D15:H15"/>
    <mergeCell ref="I15:L15"/>
    <mergeCell ref="D16:H16"/>
    <mergeCell ref="I16:L16"/>
    <mergeCell ref="D17:H17"/>
    <mergeCell ref="I17:L17"/>
    <mergeCell ref="B20:M22"/>
    <mergeCell ref="D24:H24"/>
    <mergeCell ref="I24:L24"/>
    <mergeCell ref="D34:H34"/>
    <mergeCell ref="I34:L34"/>
    <mergeCell ref="D35:H35"/>
    <mergeCell ref="I35:L35"/>
    <mergeCell ref="D36:H36"/>
    <mergeCell ref="I36:L36"/>
    <mergeCell ref="D37:H37"/>
    <mergeCell ref="I37:L37"/>
    <mergeCell ref="D25:H25"/>
    <mergeCell ref="I25:L25"/>
    <mergeCell ref="D26:H26"/>
    <mergeCell ref="I26:L26"/>
    <mergeCell ref="D27:H27"/>
    <mergeCell ref="I27:L27"/>
    <mergeCell ref="B30:M32"/>
  </mergeCells>
  <conditionalFormatting sqref="M15:M17 M25:M27 M35:M37">
    <cfRule type="containsText" dxfId="0" priority="1" operator="containsText" text="Público Criado">
      <formula>NOT(ISERROR(SEARCH(("Público Criado"),(M15))))</formula>
    </cfRule>
  </conditionalFormatting>
  <conditionalFormatting sqref="M15:M17 M25:M27 M35:M37">
    <cfRule type="containsText" dxfId="1" priority="2" operator="containsText" text="Público Pendente">
      <formula>NOT(ISERROR(SEARCH(("Público Pendente"),(M15))))</formula>
    </cfRule>
  </conditionalFormatting>
  <conditionalFormatting sqref="M1 M8:M9 M13:M19 M23:M29 M33:M1000">
    <cfRule type="containsText" dxfId="1" priority="3" operator="containsText" text="Atrasado">
      <formula>NOT(ISERROR(SEARCH(("Atrasado"),(M1))))</formula>
    </cfRule>
  </conditionalFormatting>
  <conditionalFormatting sqref="M1 M8:M9 M13:M19 M23:M29 M33:M1000">
    <cfRule type="containsText" dxfId="2" priority="4" operator="containsText" text="Faltam">
      <formula>NOT(ISERROR(SEARCH(("Faltam"),(M1))))</formula>
    </cfRule>
  </conditionalFormatting>
  <conditionalFormatting sqref="M1 M8:M9 M13:M19 M23:M29 M33:M1000">
    <cfRule type="containsText" dxfId="2" priority="5" operator="containsText" text="É pra">
      <formula>NOT(ISERROR(SEARCH(("É pra"),(M1))))</formula>
    </cfRule>
  </conditionalFormatting>
  <conditionalFormatting sqref="M1 M8:M9 M13:M19 M23:M29 M33:M1000">
    <cfRule type="containsText" dxfId="0" priority="6" operator="containsText" text="Atividade Concluída">
      <formula>NOT(ISERROR(SEARCH(("Atividade Concluída"),(M1))))</formula>
    </cfRule>
  </conditionalFormatting>
  <conditionalFormatting sqref="M1 M8:M9 M13:M19 M23:M29 M33:M1000">
    <cfRule type="containsText" dxfId="3" priority="7" operator="containsText" text="Pendente">
      <formula>NOT(ISERROR(SEARCH(("Pendente"),(M1))))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8" width="9.38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300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303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1.0</v>
      </c>
      <c r="D15" s="23" t="s">
        <v>307</v>
      </c>
      <c r="E15" s="18"/>
      <c r="F15" s="18"/>
      <c r="G15" s="18"/>
      <c r="H15" s="19"/>
      <c r="I15" s="24" t="s">
        <v>309</v>
      </c>
      <c r="J15" s="18"/>
      <c r="K15" s="18"/>
      <c r="L15" s="19"/>
      <c r="M15" s="22" t="str">
        <f t="shared" ref="M15:M22" si="1">IF(B15=TRUE,"Público Criado","Público Pendente")</f>
        <v>Público Pendente</v>
      </c>
      <c r="N15" s="1"/>
    </row>
    <row r="16" ht="15.75" customHeight="1">
      <c r="A16" s="1"/>
      <c r="B16" s="21" t="b">
        <v>0</v>
      </c>
      <c r="C16" s="22">
        <v>3.0</v>
      </c>
      <c r="D16" s="23" t="s">
        <v>310</v>
      </c>
      <c r="E16" s="18"/>
      <c r="F16" s="18"/>
      <c r="G16" s="18"/>
      <c r="H16" s="19"/>
      <c r="I16" s="24" t="s">
        <v>312</v>
      </c>
      <c r="J16" s="18"/>
      <c r="K16" s="18"/>
      <c r="L16" s="19"/>
      <c r="M16" s="22" t="str">
        <f t="shared" si="1"/>
        <v>Público Pendente</v>
      </c>
      <c r="N16" s="1"/>
    </row>
    <row r="17" ht="15.75" customHeight="1">
      <c r="A17" s="1"/>
      <c r="B17" s="21" t="b">
        <v>0</v>
      </c>
      <c r="C17" s="22">
        <v>5.0</v>
      </c>
      <c r="D17" s="23" t="s">
        <v>314</v>
      </c>
      <c r="E17" s="18"/>
      <c r="F17" s="18"/>
      <c r="G17" s="18"/>
      <c r="H17" s="19"/>
      <c r="I17" s="24" t="s">
        <v>315</v>
      </c>
      <c r="J17" s="18"/>
      <c r="K17" s="18"/>
      <c r="L17" s="19"/>
      <c r="M17" s="22" t="str">
        <f t="shared" si="1"/>
        <v>Público Pendente</v>
      </c>
      <c r="N17" s="1"/>
    </row>
    <row r="18" ht="15.75" customHeight="1">
      <c r="A18" s="1"/>
      <c r="B18" s="21" t="b">
        <v>0</v>
      </c>
      <c r="C18" s="22">
        <v>6.0</v>
      </c>
      <c r="D18" s="23" t="s">
        <v>317</v>
      </c>
      <c r="E18" s="18"/>
      <c r="F18" s="18"/>
      <c r="G18" s="18"/>
      <c r="H18" s="19"/>
      <c r="I18" s="24" t="s">
        <v>318</v>
      </c>
      <c r="J18" s="18"/>
      <c r="K18" s="18"/>
      <c r="L18" s="19"/>
      <c r="M18" s="22" t="str">
        <f t="shared" si="1"/>
        <v>Público Pendente</v>
      </c>
      <c r="N18" s="1"/>
    </row>
    <row r="19" ht="15.75" customHeight="1">
      <c r="A19" s="1"/>
      <c r="B19" s="21" t="b">
        <v>0</v>
      </c>
      <c r="C19" s="22">
        <v>7.0</v>
      </c>
      <c r="D19" s="23" t="s">
        <v>320</v>
      </c>
      <c r="E19" s="18"/>
      <c r="F19" s="18"/>
      <c r="G19" s="18"/>
      <c r="H19" s="19"/>
      <c r="I19" s="24" t="s">
        <v>321</v>
      </c>
      <c r="J19" s="18"/>
      <c r="K19" s="18"/>
      <c r="L19" s="19"/>
      <c r="M19" s="22" t="str">
        <f t="shared" si="1"/>
        <v>Público Pendente</v>
      </c>
      <c r="N19" s="1"/>
    </row>
    <row r="20" ht="15.75" customHeight="1">
      <c r="A20" s="1"/>
      <c r="B20" s="21" t="b">
        <v>0</v>
      </c>
      <c r="C20" s="22">
        <v>9.0</v>
      </c>
      <c r="D20" s="23" t="s">
        <v>323</v>
      </c>
      <c r="E20" s="18"/>
      <c r="F20" s="18"/>
      <c r="G20" s="18"/>
      <c r="H20" s="19"/>
      <c r="I20" s="24" t="s">
        <v>325</v>
      </c>
      <c r="J20" s="18"/>
      <c r="K20" s="18"/>
      <c r="L20" s="19"/>
      <c r="M20" s="22" t="str">
        <f t="shared" si="1"/>
        <v>Público Pendente</v>
      </c>
      <c r="N20" s="1"/>
    </row>
    <row r="21" ht="15.75" customHeight="1">
      <c r="A21" s="1"/>
      <c r="B21" s="21" t="b">
        <v>0</v>
      </c>
      <c r="C21" s="22">
        <v>10.0</v>
      </c>
      <c r="D21" s="23" t="s">
        <v>326</v>
      </c>
      <c r="E21" s="18"/>
      <c r="F21" s="18"/>
      <c r="G21" s="18"/>
      <c r="H21" s="19"/>
      <c r="I21" s="24" t="s">
        <v>327</v>
      </c>
      <c r="J21" s="18"/>
      <c r="K21" s="18"/>
      <c r="L21" s="19"/>
      <c r="M21" s="22" t="str">
        <f t="shared" si="1"/>
        <v>Público Pendente</v>
      </c>
      <c r="N21" s="1"/>
    </row>
    <row r="22" ht="15.75" customHeight="1">
      <c r="A22" s="1"/>
      <c r="B22" s="21" t="b">
        <v>0</v>
      </c>
      <c r="C22" s="22">
        <v>11.0</v>
      </c>
      <c r="D22" s="23" t="s">
        <v>328</v>
      </c>
      <c r="E22" s="18"/>
      <c r="F22" s="18"/>
      <c r="G22" s="18"/>
      <c r="H22" s="19"/>
      <c r="I22" s="24" t="s">
        <v>329</v>
      </c>
      <c r="J22" s="18"/>
      <c r="K22" s="18"/>
      <c r="L22" s="19"/>
      <c r="M22" s="22" t="str">
        <f t="shared" si="1"/>
        <v>Público Pendente</v>
      </c>
      <c r="N22" s="1"/>
    </row>
    <row r="23" ht="15.75" customHeight="1">
      <c r="A23" s="1"/>
      <c r="C23" s="14"/>
      <c r="N23" s="1"/>
    </row>
    <row r="24" ht="15.75" customHeight="1">
      <c r="A24" s="1"/>
      <c r="C24" s="14"/>
      <c r="N24" s="1"/>
    </row>
    <row r="25" ht="15.75" hidden="1" customHeight="1">
      <c r="A25" s="25"/>
      <c r="B25" s="26" t="s">
        <v>332</v>
      </c>
      <c r="N25" s="25"/>
    </row>
    <row r="26" ht="15.75" hidden="1" customHeight="1">
      <c r="A26" s="25"/>
      <c r="N26" s="25"/>
    </row>
    <row r="27" ht="15.75" hidden="1" customHeight="1">
      <c r="A27" s="25"/>
      <c r="N27" s="25"/>
    </row>
    <row r="28" ht="15.75" hidden="1" customHeight="1">
      <c r="A28" s="25"/>
      <c r="C28" s="14"/>
      <c r="N28" s="25"/>
    </row>
    <row r="29" ht="15.75" hidden="1" customHeight="1">
      <c r="A29" s="25"/>
      <c r="B29" s="27"/>
      <c r="C29" s="27" t="s">
        <v>4</v>
      </c>
      <c r="D29" s="28" t="s">
        <v>5</v>
      </c>
      <c r="E29" s="18"/>
      <c r="F29" s="18"/>
      <c r="G29" s="18"/>
      <c r="H29" s="19"/>
      <c r="I29" s="29" t="s">
        <v>6</v>
      </c>
      <c r="J29" s="18"/>
      <c r="K29" s="18"/>
      <c r="L29" s="19"/>
      <c r="M29" s="27" t="s">
        <v>7</v>
      </c>
      <c r="N29" s="25"/>
    </row>
    <row r="30" ht="15.75" hidden="1" customHeight="1">
      <c r="A30" s="25"/>
      <c r="B30" s="21" t="b">
        <v>0</v>
      </c>
      <c r="C30" s="22">
        <v>1.0</v>
      </c>
      <c r="D30" s="23" t="s">
        <v>334</v>
      </c>
      <c r="E30" s="18"/>
      <c r="F30" s="18"/>
      <c r="G30" s="18"/>
      <c r="H30" s="19"/>
      <c r="I30" s="24" t="s">
        <v>335</v>
      </c>
      <c r="J30" s="18"/>
      <c r="K30" s="18"/>
      <c r="L30" s="19"/>
      <c r="M30" s="22" t="str">
        <f t="shared" ref="M30:M33" si="2">IF(B30=TRUE,"Público Criado","Público Pendente")</f>
        <v>Público Pendente</v>
      </c>
      <c r="N30" s="25"/>
    </row>
    <row r="31" ht="15.75" hidden="1" customHeight="1">
      <c r="A31" s="25"/>
      <c r="B31" s="21" t="b">
        <v>0</v>
      </c>
      <c r="C31" s="22">
        <v>2.0</v>
      </c>
      <c r="D31" s="23" t="s">
        <v>337</v>
      </c>
      <c r="E31" s="18"/>
      <c r="F31" s="18"/>
      <c r="G31" s="18"/>
      <c r="H31" s="19"/>
      <c r="I31" s="24" t="s">
        <v>338</v>
      </c>
      <c r="J31" s="18"/>
      <c r="K31" s="18"/>
      <c r="L31" s="19"/>
      <c r="M31" s="22" t="str">
        <f t="shared" si="2"/>
        <v>Público Pendente</v>
      </c>
      <c r="N31" s="25"/>
    </row>
    <row r="32" ht="15.75" hidden="1" customHeight="1">
      <c r="A32" s="25"/>
      <c r="B32" s="21" t="b">
        <v>0</v>
      </c>
      <c r="C32" s="22">
        <v>3.0</v>
      </c>
      <c r="D32" s="23" t="s">
        <v>339</v>
      </c>
      <c r="E32" s="18"/>
      <c r="F32" s="18"/>
      <c r="G32" s="18"/>
      <c r="H32" s="19"/>
      <c r="I32" s="24" t="s">
        <v>341</v>
      </c>
      <c r="J32" s="18"/>
      <c r="K32" s="18"/>
      <c r="L32" s="19"/>
      <c r="M32" s="22" t="str">
        <f t="shared" si="2"/>
        <v>Público Pendente</v>
      </c>
      <c r="N32" s="25"/>
    </row>
    <row r="33" ht="15.75" hidden="1" customHeight="1">
      <c r="A33" s="25"/>
      <c r="B33" s="21" t="b">
        <v>0</v>
      </c>
      <c r="C33" s="22">
        <v>4.0</v>
      </c>
      <c r="D33" s="23" t="s">
        <v>343</v>
      </c>
      <c r="E33" s="18"/>
      <c r="F33" s="18"/>
      <c r="G33" s="18"/>
      <c r="H33" s="19"/>
      <c r="I33" s="24" t="s">
        <v>344</v>
      </c>
      <c r="J33" s="18"/>
      <c r="K33" s="18"/>
      <c r="L33" s="19"/>
      <c r="M33" s="22" t="str">
        <f t="shared" si="2"/>
        <v>Público Pendente</v>
      </c>
      <c r="N33" s="25"/>
    </row>
    <row r="34" ht="15.75" hidden="1" customHeight="1">
      <c r="A34" s="25"/>
      <c r="C34" s="14"/>
      <c r="N34" s="25"/>
    </row>
    <row r="35" ht="15.75" hidden="1" customHeight="1">
      <c r="A35" s="25"/>
      <c r="C35" s="14"/>
      <c r="N35" s="25"/>
    </row>
    <row r="36" ht="15.75" hidden="1" customHeight="1">
      <c r="A36" s="30"/>
      <c r="B36" s="31" t="s">
        <v>345</v>
      </c>
      <c r="N36" s="30"/>
    </row>
    <row r="37" ht="15.75" hidden="1" customHeight="1">
      <c r="A37" s="30"/>
      <c r="N37" s="30"/>
    </row>
    <row r="38" ht="15.75" hidden="1" customHeight="1">
      <c r="A38" s="30"/>
      <c r="N38" s="30"/>
    </row>
    <row r="39" ht="15.75" hidden="1" customHeight="1">
      <c r="A39" s="30"/>
      <c r="C39" s="14"/>
      <c r="N39" s="30"/>
    </row>
    <row r="40" ht="15.75" hidden="1" customHeight="1">
      <c r="A40" s="30"/>
      <c r="B40" s="32"/>
      <c r="C40" s="32" t="s">
        <v>4</v>
      </c>
      <c r="D40" s="33" t="s">
        <v>5</v>
      </c>
      <c r="E40" s="18"/>
      <c r="F40" s="18"/>
      <c r="G40" s="18"/>
      <c r="H40" s="19"/>
      <c r="I40" s="34" t="s">
        <v>6</v>
      </c>
      <c r="J40" s="18"/>
      <c r="K40" s="18"/>
      <c r="L40" s="19"/>
      <c r="M40" s="32" t="s">
        <v>7</v>
      </c>
      <c r="N40" s="30"/>
    </row>
    <row r="41" ht="15.75" hidden="1" customHeight="1">
      <c r="A41" s="30"/>
      <c r="B41" s="21" t="b">
        <v>0</v>
      </c>
      <c r="C41" s="22">
        <v>1.0</v>
      </c>
      <c r="D41" s="23" t="s">
        <v>349</v>
      </c>
      <c r="E41" s="18"/>
      <c r="F41" s="18"/>
      <c r="G41" s="18"/>
      <c r="H41" s="19"/>
      <c r="I41" s="24" t="s">
        <v>350</v>
      </c>
      <c r="J41" s="18"/>
      <c r="K41" s="18"/>
      <c r="L41" s="19"/>
      <c r="M41" s="22" t="str">
        <f t="shared" ref="M41:M49" si="3">IF(B41=TRUE,"Público Criado","Público Pendente")</f>
        <v>Público Pendente</v>
      </c>
      <c r="N41" s="30"/>
    </row>
    <row r="42" ht="15.75" hidden="1" customHeight="1">
      <c r="A42" s="30"/>
      <c r="B42" s="21" t="b">
        <v>0</v>
      </c>
      <c r="C42" s="22">
        <v>2.0</v>
      </c>
      <c r="D42" s="23" t="s">
        <v>352</v>
      </c>
      <c r="E42" s="18"/>
      <c r="F42" s="18"/>
      <c r="G42" s="18"/>
      <c r="H42" s="19"/>
      <c r="I42" s="24" t="s">
        <v>354</v>
      </c>
      <c r="J42" s="18"/>
      <c r="K42" s="18"/>
      <c r="L42" s="19"/>
      <c r="M42" s="22" t="str">
        <f t="shared" si="3"/>
        <v>Público Pendente</v>
      </c>
      <c r="N42" s="30"/>
    </row>
    <row r="43" ht="15.75" hidden="1" customHeight="1">
      <c r="A43" s="30"/>
      <c r="B43" s="21" t="b">
        <v>0</v>
      </c>
      <c r="C43" s="22">
        <v>3.0</v>
      </c>
      <c r="D43" s="23" t="s">
        <v>356</v>
      </c>
      <c r="E43" s="18"/>
      <c r="F43" s="18"/>
      <c r="G43" s="18"/>
      <c r="H43" s="19"/>
      <c r="I43" s="24" t="s">
        <v>357</v>
      </c>
      <c r="J43" s="18"/>
      <c r="K43" s="18"/>
      <c r="L43" s="19"/>
      <c r="M43" s="22" t="str">
        <f t="shared" si="3"/>
        <v>Público Pendente</v>
      </c>
      <c r="N43" s="30"/>
    </row>
    <row r="44" ht="15.75" hidden="1" customHeight="1">
      <c r="A44" s="30"/>
      <c r="B44" s="21" t="b">
        <v>0</v>
      </c>
      <c r="C44" s="22">
        <v>4.0</v>
      </c>
      <c r="D44" s="23" t="s">
        <v>358</v>
      </c>
      <c r="E44" s="18"/>
      <c r="F44" s="18"/>
      <c r="G44" s="18"/>
      <c r="H44" s="19"/>
      <c r="I44" s="24" t="s">
        <v>359</v>
      </c>
      <c r="J44" s="18"/>
      <c r="K44" s="18"/>
      <c r="L44" s="19"/>
      <c r="M44" s="22" t="str">
        <f t="shared" si="3"/>
        <v>Público Pendente</v>
      </c>
      <c r="N44" s="30"/>
    </row>
    <row r="45" ht="15.75" hidden="1" customHeight="1">
      <c r="A45" s="30"/>
      <c r="B45" s="21" t="b">
        <v>0</v>
      </c>
      <c r="C45" s="22">
        <v>5.0</v>
      </c>
      <c r="D45" s="23" t="s">
        <v>362</v>
      </c>
      <c r="E45" s="18"/>
      <c r="F45" s="18"/>
      <c r="G45" s="18"/>
      <c r="H45" s="19"/>
      <c r="I45" s="24" t="s">
        <v>363</v>
      </c>
      <c r="J45" s="18"/>
      <c r="K45" s="18"/>
      <c r="L45" s="19"/>
      <c r="M45" s="22" t="str">
        <f t="shared" si="3"/>
        <v>Público Pendente</v>
      </c>
      <c r="N45" s="30"/>
    </row>
    <row r="46" ht="15.75" hidden="1" customHeight="1">
      <c r="A46" s="30"/>
      <c r="B46" s="21" t="b">
        <v>0</v>
      </c>
      <c r="C46" s="22">
        <v>5.0</v>
      </c>
      <c r="D46" s="23" t="s">
        <v>366</v>
      </c>
      <c r="E46" s="18"/>
      <c r="F46" s="18"/>
      <c r="G46" s="18"/>
      <c r="H46" s="19"/>
      <c r="I46" s="24" t="s">
        <v>367</v>
      </c>
      <c r="J46" s="18"/>
      <c r="K46" s="18"/>
      <c r="L46" s="19"/>
      <c r="M46" s="22" t="str">
        <f t="shared" si="3"/>
        <v>Público Pendente</v>
      </c>
      <c r="N46" s="30"/>
    </row>
    <row r="47" ht="15.75" hidden="1" customHeight="1">
      <c r="A47" s="30"/>
      <c r="B47" s="21" t="b">
        <v>0</v>
      </c>
      <c r="C47" s="22">
        <v>6.0</v>
      </c>
      <c r="D47" s="23" t="s">
        <v>369</v>
      </c>
      <c r="E47" s="18"/>
      <c r="F47" s="18"/>
      <c r="G47" s="18"/>
      <c r="H47" s="19"/>
      <c r="I47" s="24" t="s">
        <v>371</v>
      </c>
      <c r="J47" s="18"/>
      <c r="K47" s="18"/>
      <c r="L47" s="19"/>
      <c r="M47" s="22" t="str">
        <f t="shared" si="3"/>
        <v>Público Pendente</v>
      </c>
      <c r="N47" s="30"/>
    </row>
    <row r="48" ht="15.75" hidden="1" customHeight="1">
      <c r="A48" s="30"/>
      <c r="B48" s="21" t="b">
        <v>0</v>
      </c>
      <c r="C48" s="22">
        <v>7.0</v>
      </c>
      <c r="D48" s="23" t="s">
        <v>372</v>
      </c>
      <c r="E48" s="18"/>
      <c r="F48" s="18"/>
      <c r="G48" s="18"/>
      <c r="H48" s="19"/>
      <c r="I48" s="24" t="s">
        <v>374</v>
      </c>
      <c r="J48" s="18"/>
      <c r="K48" s="18"/>
      <c r="L48" s="19"/>
      <c r="M48" s="22" t="str">
        <f t="shared" si="3"/>
        <v>Público Pendente</v>
      </c>
      <c r="N48" s="30"/>
    </row>
    <row r="49" ht="15.75" hidden="1" customHeight="1">
      <c r="A49" s="30"/>
      <c r="B49" s="21" t="b">
        <v>0</v>
      </c>
      <c r="C49" s="22">
        <v>8.0</v>
      </c>
      <c r="D49" s="23" t="s">
        <v>376</v>
      </c>
      <c r="E49" s="18"/>
      <c r="F49" s="18"/>
      <c r="G49" s="18"/>
      <c r="H49" s="19"/>
      <c r="I49" s="24" t="s">
        <v>377</v>
      </c>
      <c r="J49" s="18"/>
      <c r="K49" s="18"/>
      <c r="L49" s="19"/>
      <c r="M49" s="22" t="str">
        <f t="shared" si="3"/>
        <v>Público Pendente</v>
      </c>
      <c r="N49" s="30"/>
    </row>
    <row r="50" ht="15.75" hidden="1" customHeight="1">
      <c r="A50" s="30"/>
      <c r="N50" s="30"/>
    </row>
    <row r="51" ht="15.75" hidden="1" customHeight="1">
      <c r="A51" s="30"/>
      <c r="C51" s="14"/>
      <c r="N51" s="30"/>
    </row>
    <row r="52" ht="15.75" hidden="1" customHeight="1">
      <c r="A52" s="48"/>
      <c r="B52" s="49" t="s">
        <v>379</v>
      </c>
      <c r="N52" s="48"/>
    </row>
    <row r="53" ht="15.75" hidden="1" customHeight="1">
      <c r="A53" s="48"/>
      <c r="N53" s="48"/>
    </row>
    <row r="54" ht="15.75" hidden="1" customHeight="1">
      <c r="A54" s="48"/>
      <c r="N54" s="48"/>
    </row>
    <row r="55" ht="15.75" hidden="1" customHeight="1">
      <c r="A55" s="48"/>
      <c r="C55" s="14"/>
      <c r="N55" s="48"/>
    </row>
    <row r="56" ht="15.75" hidden="1" customHeight="1">
      <c r="A56" s="48"/>
      <c r="B56" s="50"/>
      <c r="C56" s="50" t="s">
        <v>4</v>
      </c>
      <c r="D56" s="51" t="s">
        <v>5</v>
      </c>
      <c r="E56" s="18"/>
      <c r="F56" s="18"/>
      <c r="G56" s="18"/>
      <c r="H56" s="19"/>
      <c r="I56" s="52" t="s">
        <v>6</v>
      </c>
      <c r="J56" s="18"/>
      <c r="K56" s="18"/>
      <c r="L56" s="19"/>
      <c r="M56" s="50" t="s">
        <v>7</v>
      </c>
      <c r="N56" s="48"/>
    </row>
    <row r="57" ht="15.75" hidden="1" customHeight="1">
      <c r="A57" s="48"/>
      <c r="B57" s="21" t="b">
        <v>0</v>
      </c>
      <c r="C57" s="22">
        <v>1.0</v>
      </c>
      <c r="D57" s="23" t="s">
        <v>382</v>
      </c>
      <c r="E57" s="18"/>
      <c r="F57" s="18"/>
      <c r="G57" s="18"/>
      <c r="H57" s="19"/>
      <c r="I57" s="24" t="s">
        <v>383</v>
      </c>
      <c r="J57" s="18"/>
      <c r="K57" s="18"/>
      <c r="L57" s="19"/>
      <c r="M57" s="22" t="str">
        <f t="shared" ref="M57:M60" si="4">IF(B57=TRUE,"Público Criado","Público Pendente")</f>
        <v>Público Pendente</v>
      </c>
      <c r="N57" s="48"/>
    </row>
    <row r="58" ht="15.75" hidden="1" customHeight="1">
      <c r="A58" s="48"/>
      <c r="B58" s="21" t="b">
        <v>0</v>
      </c>
      <c r="C58" s="22">
        <v>2.0</v>
      </c>
      <c r="D58" s="23" t="s">
        <v>385</v>
      </c>
      <c r="E58" s="18"/>
      <c r="F58" s="18"/>
      <c r="G58" s="18"/>
      <c r="H58" s="19"/>
      <c r="I58" s="24" t="s">
        <v>386</v>
      </c>
      <c r="J58" s="18"/>
      <c r="K58" s="18"/>
      <c r="L58" s="19"/>
      <c r="M58" s="22" t="str">
        <f t="shared" si="4"/>
        <v>Público Pendente</v>
      </c>
      <c r="N58" s="48"/>
    </row>
    <row r="59" ht="15.75" hidden="1" customHeight="1">
      <c r="A59" s="48"/>
      <c r="B59" s="21" t="b">
        <v>0</v>
      </c>
      <c r="C59" s="22">
        <v>3.0</v>
      </c>
      <c r="D59" s="23" t="s">
        <v>387</v>
      </c>
      <c r="E59" s="18"/>
      <c r="F59" s="18"/>
      <c r="G59" s="18"/>
      <c r="H59" s="19"/>
      <c r="I59" s="24" t="s">
        <v>388</v>
      </c>
      <c r="J59" s="18"/>
      <c r="K59" s="18"/>
      <c r="L59" s="19"/>
      <c r="M59" s="22" t="str">
        <f t="shared" si="4"/>
        <v>Público Pendente</v>
      </c>
      <c r="N59" s="48"/>
    </row>
    <row r="60" ht="15.75" hidden="1" customHeight="1">
      <c r="A60" s="48"/>
      <c r="B60" s="21" t="b">
        <v>0</v>
      </c>
      <c r="C60" s="22">
        <v>4.0</v>
      </c>
      <c r="D60" s="23" t="s">
        <v>389</v>
      </c>
      <c r="E60" s="18"/>
      <c r="F60" s="18"/>
      <c r="G60" s="18"/>
      <c r="H60" s="19"/>
      <c r="I60" s="24" t="s">
        <v>390</v>
      </c>
      <c r="J60" s="18"/>
      <c r="K60" s="18"/>
      <c r="L60" s="19"/>
      <c r="M60" s="22" t="str">
        <f t="shared" si="4"/>
        <v>Público Pendente</v>
      </c>
      <c r="N60" s="48"/>
    </row>
    <row r="61" ht="15.75" hidden="1" customHeight="1">
      <c r="A61" s="48"/>
      <c r="C61" s="14"/>
      <c r="N61" s="48"/>
    </row>
    <row r="62" ht="15.75" hidden="1" customHeight="1">
      <c r="A62" s="48"/>
      <c r="C62" s="14"/>
      <c r="N62" s="48"/>
    </row>
    <row r="63" ht="15.75" customHeight="1">
      <c r="A63" s="53"/>
      <c r="B63" s="54" t="s">
        <v>392</v>
      </c>
      <c r="N63" s="53"/>
    </row>
    <row r="64" ht="15.75" customHeight="1">
      <c r="A64" s="53"/>
      <c r="N64" s="53"/>
    </row>
    <row r="65" ht="15.75" customHeight="1">
      <c r="A65" s="53"/>
      <c r="N65" s="53"/>
    </row>
    <row r="66" ht="15.75" customHeight="1">
      <c r="A66" s="53"/>
      <c r="C66" s="14"/>
      <c r="N66" s="53"/>
    </row>
    <row r="67" ht="15.75" customHeight="1">
      <c r="A67" s="53"/>
      <c r="B67" s="55"/>
      <c r="C67" s="55" t="s">
        <v>4</v>
      </c>
      <c r="D67" s="56" t="s">
        <v>5</v>
      </c>
      <c r="E67" s="18"/>
      <c r="F67" s="18"/>
      <c r="G67" s="18"/>
      <c r="H67" s="19"/>
      <c r="I67" s="57" t="s">
        <v>6</v>
      </c>
      <c r="J67" s="18"/>
      <c r="K67" s="18"/>
      <c r="L67" s="19"/>
      <c r="M67" s="55" t="s">
        <v>7</v>
      </c>
      <c r="N67" s="53"/>
    </row>
    <row r="68" ht="15.75" customHeight="1">
      <c r="A68" s="53"/>
      <c r="B68" s="21" t="b">
        <v>0</v>
      </c>
      <c r="C68" s="22">
        <v>1.0</v>
      </c>
      <c r="D68" s="23" t="s">
        <v>396</v>
      </c>
      <c r="E68" s="18"/>
      <c r="F68" s="18"/>
      <c r="G68" s="18"/>
      <c r="H68" s="19"/>
      <c r="I68" s="24" t="s">
        <v>397</v>
      </c>
      <c r="J68" s="18"/>
      <c r="K68" s="18"/>
      <c r="L68" s="19"/>
      <c r="M68" s="22" t="str">
        <f t="shared" ref="M68:M71" si="5">IF(B68=TRUE,"Público Criado","Público Pendente")</f>
        <v>Público Pendente</v>
      </c>
      <c r="N68" s="53"/>
    </row>
    <row r="69" ht="15.75" customHeight="1">
      <c r="A69" s="53"/>
      <c r="B69" s="21" t="b">
        <v>0</v>
      </c>
      <c r="C69" s="22">
        <v>2.0</v>
      </c>
      <c r="D69" s="23" t="s">
        <v>399</v>
      </c>
      <c r="E69" s="18"/>
      <c r="F69" s="18"/>
      <c r="G69" s="18"/>
      <c r="H69" s="19"/>
      <c r="I69" s="24" t="s">
        <v>401</v>
      </c>
      <c r="J69" s="18"/>
      <c r="K69" s="18"/>
      <c r="L69" s="19"/>
      <c r="M69" s="22" t="str">
        <f t="shared" si="5"/>
        <v>Público Pendente</v>
      </c>
      <c r="N69" s="53"/>
    </row>
    <row r="70" ht="15.75" customHeight="1">
      <c r="A70" s="53"/>
      <c r="B70" s="21" t="b">
        <v>0</v>
      </c>
      <c r="C70" s="22">
        <v>3.0</v>
      </c>
      <c r="D70" s="23" t="s">
        <v>402</v>
      </c>
      <c r="E70" s="18"/>
      <c r="F70" s="18"/>
      <c r="G70" s="18"/>
      <c r="H70" s="19"/>
      <c r="I70" s="24" t="s">
        <v>403</v>
      </c>
      <c r="J70" s="18"/>
      <c r="K70" s="18"/>
      <c r="L70" s="19"/>
      <c r="M70" s="22" t="str">
        <f t="shared" si="5"/>
        <v>Público Pendente</v>
      </c>
      <c r="N70" s="53"/>
    </row>
    <row r="71" ht="15.75" customHeight="1">
      <c r="A71" s="53"/>
      <c r="B71" s="21" t="b">
        <v>0</v>
      </c>
      <c r="C71" s="22">
        <v>4.0</v>
      </c>
      <c r="D71" s="23" t="s">
        <v>406</v>
      </c>
      <c r="E71" s="18"/>
      <c r="F71" s="18"/>
      <c r="G71" s="18"/>
      <c r="H71" s="19"/>
      <c r="I71" s="24" t="s">
        <v>407</v>
      </c>
      <c r="J71" s="18"/>
      <c r="K71" s="18"/>
      <c r="L71" s="19"/>
      <c r="M71" s="22" t="str">
        <f t="shared" si="5"/>
        <v>Público Pendente</v>
      </c>
      <c r="N71" s="53"/>
    </row>
    <row r="72" ht="15.75" customHeight="1">
      <c r="A72" s="53"/>
      <c r="C72" s="14"/>
      <c r="N72" s="53"/>
    </row>
    <row r="73" ht="15.75" customHeight="1">
      <c r="A73" s="53"/>
      <c r="C73" s="14"/>
      <c r="N73" s="53"/>
    </row>
    <row r="74" ht="15.0" hidden="1" customHeight="1">
      <c r="A74" s="1"/>
      <c r="B74" s="15" t="s">
        <v>408</v>
      </c>
      <c r="N74" s="1"/>
    </row>
    <row r="75" ht="15.75" hidden="1" customHeight="1">
      <c r="A75" s="1"/>
      <c r="N75" s="1"/>
    </row>
    <row r="76" ht="15.75" hidden="1" customHeight="1">
      <c r="A76" s="1"/>
      <c r="N76" s="1"/>
    </row>
    <row r="77" ht="15.75" hidden="1" customHeight="1">
      <c r="A77" s="1"/>
      <c r="C77" s="14"/>
      <c r="N77" s="1"/>
    </row>
    <row r="78" ht="15.75" hidden="1" customHeight="1">
      <c r="A78" s="1"/>
      <c r="B78" s="16"/>
      <c r="C78" s="16" t="s">
        <v>4</v>
      </c>
      <c r="D78" s="17" t="s">
        <v>5</v>
      </c>
      <c r="E78" s="18"/>
      <c r="F78" s="18"/>
      <c r="G78" s="18"/>
      <c r="H78" s="19"/>
      <c r="I78" s="20" t="s">
        <v>6</v>
      </c>
      <c r="J78" s="18"/>
      <c r="K78" s="18"/>
      <c r="L78" s="19"/>
      <c r="M78" s="16" t="s">
        <v>7</v>
      </c>
      <c r="N78" s="1"/>
    </row>
    <row r="79" ht="15.75" hidden="1" customHeight="1">
      <c r="A79" s="1"/>
      <c r="B79" s="21" t="b">
        <v>0</v>
      </c>
      <c r="C79" s="22">
        <v>1.0</v>
      </c>
      <c r="D79" s="23" t="s">
        <v>413</v>
      </c>
      <c r="E79" s="18"/>
      <c r="F79" s="18"/>
      <c r="G79" s="18"/>
      <c r="H79" s="19"/>
      <c r="I79" s="24" t="s">
        <v>415</v>
      </c>
      <c r="J79" s="18"/>
      <c r="K79" s="18"/>
      <c r="L79" s="19"/>
      <c r="M79" s="22" t="str">
        <f t="shared" ref="M79:M82" si="6">IF(B79=TRUE,"Público Criado","Público Pendente")</f>
        <v>Público Pendente</v>
      </c>
      <c r="N79" s="1"/>
    </row>
    <row r="80" ht="15.75" hidden="1" customHeight="1">
      <c r="A80" s="1"/>
      <c r="B80" s="21" t="b">
        <v>0</v>
      </c>
      <c r="C80" s="22">
        <v>2.0</v>
      </c>
      <c r="D80" s="23" t="s">
        <v>416</v>
      </c>
      <c r="E80" s="18"/>
      <c r="F80" s="18"/>
      <c r="G80" s="18"/>
      <c r="H80" s="19"/>
      <c r="I80" s="24" t="s">
        <v>417</v>
      </c>
      <c r="J80" s="18"/>
      <c r="K80" s="18"/>
      <c r="L80" s="19"/>
      <c r="M80" s="22" t="str">
        <f t="shared" si="6"/>
        <v>Público Pendente</v>
      </c>
      <c r="N80" s="1"/>
    </row>
    <row r="81" ht="15.75" hidden="1" customHeight="1">
      <c r="A81" s="1"/>
      <c r="B81" s="21" t="b">
        <v>0</v>
      </c>
      <c r="C81" s="22">
        <v>3.0</v>
      </c>
      <c r="D81" s="23" t="s">
        <v>419</v>
      </c>
      <c r="E81" s="18"/>
      <c r="F81" s="18"/>
      <c r="G81" s="18"/>
      <c r="H81" s="19"/>
      <c r="I81" s="24" t="s">
        <v>420</v>
      </c>
      <c r="J81" s="18"/>
      <c r="K81" s="18"/>
      <c r="L81" s="19"/>
      <c r="M81" s="22" t="str">
        <f t="shared" si="6"/>
        <v>Público Pendente</v>
      </c>
      <c r="N81" s="1"/>
    </row>
    <row r="82" ht="15.75" hidden="1" customHeight="1">
      <c r="A82" s="1"/>
      <c r="B82" s="21" t="b">
        <v>0</v>
      </c>
      <c r="C82" s="22">
        <v>4.0</v>
      </c>
      <c r="D82" s="23" t="s">
        <v>421</v>
      </c>
      <c r="E82" s="18"/>
      <c r="F82" s="18"/>
      <c r="G82" s="18"/>
      <c r="H82" s="19"/>
      <c r="I82" s="24" t="s">
        <v>422</v>
      </c>
      <c r="J82" s="18"/>
      <c r="K82" s="18"/>
      <c r="L82" s="19"/>
      <c r="M82" s="22" t="str">
        <f t="shared" si="6"/>
        <v>Público Pendente</v>
      </c>
      <c r="N82" s="1"/>
    </row>
    <row r="83" ht="15.75" hidden="1" customHeight="1">
      <c r="A83" s="1"/>
      <c r="C83" s="14"/>
      <c r="N83" s="1"/>
    </row>
    <row r="84" ht="15.75" hidden="1" customHeight="1">
      <c r="A84" s="1"/>
      <c r="C84" s="14"/>
      <c r="N84" s="1"/>
    </row>
    <row r="85" ht="15.75" hidden="1" customHeight="1">
      <c r="A85" s="25"/>
      <c r="B85" s="26" t="s">
        <v>423</v>
      </c>
      <c r="N85" s="25"/>
    </row>
    <row r="86" ht="15.75" hidden="1" customHeight="1">
      <c r="A86" s="25"/>
      <c r="N86" s="25"/>
    </row>
    <row r="87" ht="15.75" hidden="1" customHeight="1">
      <c r="A87" s="25"/>
      <c r="N87" s="25"/>
    </row>
    <row r="88" ht="15.75" hidden="1" customHeight="1">
      <c r="A88" s="25"/>
      <c r="C88" s="14"/>
      <c r="N88" s="25"/>
    </row>
    <row r="89" ht="15.75" hidden="1" customHeight="1">
      <c r="A89" s="25"/>
      <c r="B89" s="27"/>
      <c r="C89" s="27" t="s">
        <v>4</v>
      </c>
      <c r="D89" s="28" t="s">
        <v>5</v>
      </c>
      <c r="E89" s="18"/>
      <c r="F89" s="18"/>
      <c r="G89" s="18"/>
      <c r="H89" s="19"/>
      <c r="I89" s="29" t="s">
        <v>6</v>
      </c>
      <c r="J89" s="18"/>
      <c r="K89" s="18"/>
      <c r="L89" s="19"/>
      <c r="M89" s="27" t="s">
        <v>7</v>
      </c>
      <c r="N89" s="25"/>
    </row>
    <row r="90" ht="15.75" hidden="1" customHeight="1">
      <c r="A90" s="25"/>
      <c r="B90" s="21" t="b">
        <v>0</v>
      </c>
      <c r="C90" s="22">
        <v>1.0</v>
      </c>
      <c r="D90" s="23" t="s">
        <v>427</v>
      </c>
      <c r="E90" s="18"/>
      <c r="F90" s="18"/>
      <c r="G90" s="18"/>
      <c r="H90" s="19"/>
      <c r="I90" s="24" t="s">
        <v>429</v>
      </c>
      <c r="J90" s="18"/>
      <c r="K90" s="18"/>
      <c r="L90" s="19"/>
      <c r="M90" s="22" t="str">
        <f t="shared" ref="M90:M93" si="7">IF(B90=TRUE,"Público Criado","Público Pendente")</f>
        <v>Público Pendente</v>
      </c>
      <c r="N90" s="25"/>
    </row>
    <row r="91" ht="15.75" hidden="1" customHeight="1">
      <c r="A91" s="25"/>
      <c r="B91" s="21" t="b">
        <v>0</v>
      </c>
      <c r="C91" s="22">
        <v>2.0</v>
      </c>
      <c r="D91" s="23" t="s">
        <v>431</v>
      </c>
      <c r="E91" s="18"/>
      <c r="F91" s="18"/>
      <c r="G91" s="18"/>
      <c r="H91" s="19"/>
      <c r="I91" s="24" t="s">
        <v>432</v>
      </c>
      <c r="J91" s="18"/>
      <c r="K91" s="18"/>
      <c r="L91" s="19"/>
      <c r="M91" s="22" t="str">
        <f t="shared" si="7"/>
        <v>Público Pendente</v>
      </c>
      <c r="N91" s="25"/>
    </row>
    <row r="92" ht="15.75" hidden="1" customHeight="1">
      <c r="A92" s="25"/>
      <c r="B92" s="21" t="b">
        <v>0</v>
      </c>
      <c r="C92" s="22">
        <v>3.0</v>
      </c>
      <c r="D92" s="23" t="s">
        <v>434</v>
      </c>
      <c r="E92" s="18"/>
      <c r="F92" s="18"/>
      <c r="G92" s="18"/>
      <c r="H92" s="19"/>
      <c r="I92" s="24" t="s">
        <v>436</v>
      </c>
      <c r="J92" s="18"/>
      <c r="K92" s="18"/>
      <c r="L92" s="19"/>
      <c r="M92" s="22" t="str">
        <f t="shared" si="7"/>
        <v>Público Pendente</v>
      </c>
      <c r="N92" s="25"/>
    </row>
    <row r="93" ht="15.75" hidden="1" customHeight="1">
      <c r="A93" s="25"/>
      <c r="B93" s="21" t="b">
        <v>0</v>
      </c>
      <c r="C93" s="22">
        <v>4.0</v>
      </c>
      <c r="D93" s="23" t="s">
        <v>439</v>
      </c>
      <c r="E93" s="18"/>
      <c r="F93" s="18"/>
      <c r="G93" s="18"/>
      <c r="H93" s="19"/>
      <c r="I93" s="24" t="s">
        <v>441</v>
      </c>
      <c r="J93" s="18"/>
      <c r="K93" s="18"/>
      <c r="L93" s="19"/>
      <c r="M93" s="22" t="str">
        <f t="shared" si="7"/>
        <v>Público Pendente</v>
      </c>
      <c r="N93" s="25"/>
    </row>
    <row r="94" ht="15.75" hidden="1" customHeight="1">
      <c r="A94" s="25"/>
      <c r="C94" s="14"/>
      <c r="N94" s="25"/>
    </row>
    <row r="95" ht="15.75" hidden="1" customHeight="1">
      <c r="A95" s="25"/>
      <c r="C95" s="14"/>
      <c r="N95" s="25"/>
    </row>
    <row r="96" ht="15.75" hidden="1" customHeight="1">
      <c r="A96" s="53"/>
      <c r="B96" s="54" t="s">
        <v>445</v>
      </c>
      <c r="N96" s="53"/>
    </row>
    <row r="97" ht="15.75" hidden="1" customHeight="1">
      <c r="A97" s="53"/>
      <c r="N97" s="53"/>
    </row>
    <row r="98" ht="15.75" hidden="1" customHeight="1">
      <c r="A98" s="53"/>
      <c r="N98" s="53"/>
    </row>
    <row r="99" ht="15.75" hidden="1" customHeight="1">
      <c r="A99" s="53"/>
      <c r="C99" s="14"/>
      <c r="N99" s="53"/>
    </row>
    <row r="100" ht="15.75" hidden="1" customHeight="1">
      <c r="A100" s="53"/>
      <c r="B100" s="55"/>
      <c r="C100" s="55" t="s">
        <v>4</v>
      </c>
      <c r="D100" s="56" t="s">
        <v>5</v>
      </c>
      <c r="E100" s="18"/>
      <c r="F100" s="18"/>
      <c r="G100" s="18"/>
      <c r="H100" s="19"/>
      <c r="I100" s="57" t="s">
        <v>6</v>
      </c>
      <c r="J100" s="18"/>
      <c r="K100" s="18"/>
      <c r="L100" s="19"/>
      <c r="M100" s="55" t="s">
        <v>7</v>
      </c>
      <c r="N100" s="53"/>
    </row>
    <row r="101" ht="15.75" hidden="1" customHeight="1">
      <c r="A101" s="53"/>
      <c r="B101" s="21" t="b">
        <v>0</v>
      </c>
      <c r="C101" s="22">
        <v>1.0</v>
      </c>
      <c r="D101" s="23" t="s">
        <v>454</v>
      </c>
      <c r="E101" s="18"/>
      <c r="F101" s="18"/>
      <c r="G101" s="18"/>
      <c r="H101" s="19"/>
      <c r="I101" s="58" t="s">
        <v>456</v>
      </c>
      <c r="J101" s="18"/>
      <c r="K101" s="18"/>
      <c r="L101" s="19"/>
      <c r="M101" s="22" t="str">
        <f t="shared" ref="M101:M104" si="8">IF(B101=TRUE,"Público Criado","Público Pendente")</f>
        <v>Público Pendente</v>
      </c>
      <c r="N101" s="53"/>
    </row>
    <row r="102" ht="15.75" hidden="1" customHeight="1">
      <c r="A102" s="53"/>
      <c r="B102" s="21" t="b">
        <v>0</v>
      </c>
      <c r="C102" s="22">
        <v>2.0</v>
      </c>
      <c r="D102" s="23" t="s">
        <v>462</v>
      </c>
      <c r="E102" s="18"/>
      <c r="F102" s="18"/>
      <c r="G102" s="18"/>
      <c r="H102" s="19"/>
      <c r="I102" s="58" t="s">
        <v>464</v>
      </c>
      <c r="J102" s="18"/>
      <c r="K102" s="18"/>
      <c r="L102" s="19"/>
      <c r="M102" s="22" t="str">
        <f t="shared" si="8"/>
        <v>Público Pendente</v>
      </c>
      <c r="N102" s="53"/>
    </row>
    <row r="103" ht="15.75" hidden="1" customHeight="1">
      <c r="A103" s="53"/>
      <c r="B103" s="21" t="b">
        <v>0</v>
      </c>
      <c r="C103" s="22">
        <v>3.0</v>
      </c>
      <c r="D103" s="23" t="s">
        <v>467</v>
      </c>
      <c r="E103" s="18"/>
      <c r="F103" s="18"/>
      <c r="G103" s="18"/>
      <c r="H103" s="19"/>
      <c r="I103" s="58" t="s">
        <v>468</v>
      </c>
      <c r="J103" s="18"/>
      <c r="K103" s="18"/>
      <c r="L103" s="19"/>
      <c r="M103" s="22" t="str">
        <f t="shared" si="8"/>
        <v>Público Pendente</v>
      </c>
      <c r="N103" s="53"/>
    </row>
    <row r="104" ht="15.75" hidden="1" customHeight="1">
      <c r="A104" s="53"/>
      <c r="B104" s="21" t="b">
        <v>0</v>
      </c>
      <c r="C104" s="22">
        <v>4.0</v>
      </c>
      <c r="D104" s="23" t="s">
        <v>471</v>
      </c>
      <c r="E104" s="18"/>
      <c r="F104" s="18"/>
      <c r="G104" s="18"/>
      <c r="H104" s="19"/>
      <c r="I104" s="58" t="s">
        <v>472</v>
      </c>
      <c r="J104" s="18"/>
      <c r="K104" s="18"/>
      <c r="L104" s="19"/>
      <c r="M104" s="22" t="str">
        <f t="shared" si="8"/>
        <v>Público Pendente</v>
      </c>
      <c r="N104" s="53"/>
    </row>
    <row r="105" ht="15.75" hidden="1" customHeight="1">
      <c r="A105" s="53"/>
      <c r="C105" s="14"/>
      <c r="N105" s="53"/>
    </row>
    <row r="106" ht="15.75" hidden="1" customHeight="1">
      <c r="A106" s="53"/>
      <c r="C106" s="14"/>
      <c r="N106" s="53"/>
    </row>
    <row r="107" ht="15.0" hidden="1" customHeight="1">
      <c r="A107" s="1"/>
      <c r="B107" s="15" t="s">
        <v>474</v>
      </c>
      <c r="N107" s="1"/>
    </row>
    <row r="108" ht="15.75" hidden="1" customHeight="1">
      <c r="A108" s="1"/>
      <c r="N108" s="1"/>
    </row>
    <row r="109" ht="15.75" hidden="1" customHeight="1">
      <c r="A109" s="1"/>
      <c r="N109" s="1"/>
    </row>
    <row r="110" ht="15.75" hidden="1" customHeight="1">
      <c r="A110" s="1"/>
      <c r="C110" s="14"/>
      <c r="N110" s="1"/>
    </row>
    <row r="111" ht="15.75" hidden="1" customHeight="1">
      <c r="A111" s="1"/>
      <c r="B111" s="16"/>
      <c r="C111" s="16" t="s">
        <v>4</v>
      </c>
      <c r="D111" s="17" t="s">
        <v>5</v>
      </c>
      <c r="E111" s="18"/>
      <c r="F111" s="18"/>
      <c r="G111" s="18"/>
      <c r="H111" s="19"/>
      <c r="I111" s="20" t="s">
        <v>6</v>
      </c>
      <c r="J111" s="18"/>
      <c r="K111" s="18"/>
      <c r="L111" s="19"/>
      <c r="M111" s="16" t="s">
        <v>7</v>
      </c>
      <c r="N111" s="1"/>
    </row>
    <row r="112" ht="15.75" hidden="1" customHeight="1">
      <c r="A112" s="1"/>
      <c r="B112" s="21" t="b">
        <v>0</v>
      </c>
      <c r="C112" s="22">
        <v>1.0</v>
      </c>
      <c r="D112" s="23" t="s">
        <v>479</v>
      </c>
      <c r="E112" s="18"/>
      <c r="F112" s="18"/>
      <c r="G112" s="18"/>
      <c r="H112" s="19"/>
      <c r="I112" s="24" t="s">
        <v>481</v>
      </c>
      <c r="J112" s="18"/>
      <c r="K112" s="18"/>
      <c r="L112" s="19"/>
      <c r="M112" s="22" t="str">
        <f t="shared" ref="M112:M115" si="9">IF(B112=TRUE,"Público Criado","Público Pendente")</f>
        <v>Público Pendente</v>
      </c>
      <c r="N112" s="1"/>
    </row>
    <row r="113" ht="15.75" hidden="1" customHeight="1">
      <c r="A113" s="1"/>
      <c r="B113" s="21" t="b">
        <v>0</v>
      </c>
      <c r="C113" s="22">
        <v>2.0</v>
      </c>
      <c r="D113" s="23" t="s">
        <v>484</v>
      </c>
      <c r="E113" s="18"/>
      <c r="F113" s="18"/>
      <c r="G113" s="18"/>
      <c r="H113" s="19"/>
      <c r="I113" s="24" t="s">
        <v>487</v>
      </c>
      <c r="J113" s="18"/>
      <c r="K113" s="18"/>
      <c r="L113" s="19"/>
      <c r="M113" s="22" t="str">
        <f t="shared" si="9"/>
        <v>Público Pendente</v>
      </c>
      <c r="N113" s="1"/>
    </row>
    <row r="114" ht="15.75" hidden="1" customHeight="1">
      <c r="A114" s="1"/>
      <c r="B114" s="21" t="b">
        <v>0</v>
      </c>
      <c r="C114" s="22">
        <v>3.0</v>
      </c>
      <c r="D114" s="23" t="s">
        <v>488</v>
      </c>
      <c r="E114" s="18"/>
      <c r="F114" s="18"/>
      <c r="G114" s="18"/>
      <c r="H114" s="19"/>
      <c r="I114" s="24" t="s">
        <v>489</v>
      </c>
      <c r="J114" s="18"/>
      <c r="K114" s="18"/>
      <c r="L114" s="19"/>
      <c r="M114" s="22" t="str">
        <f t="shared" si="9"/>
        <v>Público Pendente</v>
      </c>
      <c r="N114" s="1"/>
    </row>
    <row r="115" ht="15.75" hidden="1" customHeight="1">
      <c r="A115" s="1"/>
      <c r="B115" s="21" t="b">
        <v>0</v>
      </c>
      <c r="C115" s="22">
        <v>4.0</v>
      </c>
      <c r="D115" s="23" t="s">
        <v>491</v>
      </c>
      <c r="E115" s="18"/>
      <c r="F115" s="18"/>
      <c r="G115" s="18"/>
      <c r="H115" s="19"/>
      <c r="I115" s="24" t="s">
        <v>493</v>
      </c>
      <c r="J115" s="18"/>
      <c r="K115" s="18"/>
      <c r="L115" s="19"/>
      <c r="M115" s="22" t="str">
        <f t="shared" si="9"/>
        <v>Público Pendente</v>
      </c>
      <c r="N115" s="1"/>
    </row>
    <row r="116" ht="15.75" hidden="1" customHeight="1">
      <c r="A116" s="1"/>
      <c r="C116" s="14"/>
      <c r="N116" s="1"/>
    </row>
    <row r="117" ht="15.75" hidden="1" customHeight="1">
      <c r="A117" s="1"/>
      <c r="C117" s="14"/>
      <c r="N117" s="1"/>
    </row>
    <row r="118" ht="15.75" hidden="1" customHeight="1">
      <c r="A118" s="25"/>
      <c r="B118" s="26" t="s">
        <v>494</v>
      </c>
      <c r="N118" s="25"/>
    </row>
    <row r="119" ht="15.75" hidden="1" customHeight="1">
      <c r="A119" s="25"/>
      <c r="N119" s="25"/>
    </row>
    <row r="120" ht="15.75" hidden="1" customHeight="1">
      <c r="A120" s="25"/>
      <c r="N120" s="25"/>
    </row>
    <row r="121" ht="15.75" hidden="1" customHeight="1">
      <c r="A121" s="25"/>
      <c r="C121" s="14"/>
      <c r="N121" s="25"/>
    </row>
    <row r="122" ht="15.75" hidden="1" customHeight="1">
      <c r="A122" s="25"/>
      <c r="B122" s="27"/>
      <c r="C122" s="27" t="s">
        <v>4</v>
      </c>
      <c r="D122" s="28" t="s">
        <v>5</v>
      </c>
      <c r="E122" s="18"/>
      <c r="F122" s="18"/>
      <c r="G122" s="18"/>
      <c r="H122" s="19"/>
      <c r="I122" s="29" t="s">
        <v>6</v>
      </c>
      <c r="J122" s="18"/>
      <c r="K122" s="18"/>
      <c r="L122" s="19"/>
      <c r="M122" s="27" t="s">
        <v>7</v>
      </c>
      <c r="N122" s="25"/>
    </row>
    <row r="123" ht="15.75" hidden="1" customHeight="1">
      <c r="A123" s="25"/>
      <c r="B123" s="21" t="b">
        <v>0</v>
      </c>
      <c r="C123" s="22">
        <v>1.0</v>
      </c>
      <c r="D123" s="23" t="s">
        <v>497</v>
      </c>
      <c r="E123" s="18"/>
      <c r="F123" s="18"/>
      <c r="G123" s="18"/>
      <c r="H123" s="19"/>
      <c r="I123" s="24" t="s">
        <v>498</v>
      </c>
      <c r="J123" s="18"/>
      <c r="K123" s="18"/>
      <c r="L123" s="19"/>
      <c r="M123" s="22" t="str">
        <f t="shared" ref="M123:M126" si="10">IF(B123=TRUE,"Público Criado","Público Pendente")</f>
        <v>Público Pendente</v>
      </c>
      <c r="N123" s="25"/>
    </row>
    <row r="124" ht="15.75" hidden="1" customHeight="1">
      <c r="A124" s="25"/>
      <c r="B124" s="21" t="b">
        <v>0</v>
      </c>
      <c r="C124" s="22">
        <v>2.0</v>
      </c>
      <c r="D124" s="23" t="s">
        <v>499</v>
      </c>
      <c r="E124" s="18"/>
      <c r="F124" s="18"/>
      <c r="G124" s="18"/>
      <c r="H124" s="19"/>
      <c r="I124" s="24" t="s">
        <v>500</v>
      </c>
      <c r="J124" s="18"/>
      <c r="K124" s="18"/>
      <c r="L124" s="19"/>
      <c r="M124" s="22" t="str">
        <f t="shared" si="10"/>
        <v>Público Pendente</v>
      </c>
      <c r="N124" s="25"/>
    </row>
    <row r="125" ht="15.75" hidden="1" customHeight="1">
      <c r="A125" s="25"/>
      <c r="B125" s="21" t="b">
        <v>0</v>
      </c>
      <c r="C125" s="22">
        <v>3.0</v>
      </c>
      <c r="D125" s="23" t="s">
        <v>501</v>
      </c>
      <c r="E125" s="18"/>
      <c r="F125" s="18"/>
      <c r="G125" s="18"/>
      <c r="H125" s="19"/>
      <c r="I125" s="24" t="s">
        <v>502</v>
      </c>
      <c r="J125" s="18"/>
      <c r="K125" s="18"/>
      <c r="L125" s="19"/>
      <c r="M125" s="22" t="str">
        <f t="shared" si="10"/>
        <v>Público Pendente</v>
      </c>
      <c r="N125" s="25"/>
    </row>
    <row r="126" ht="15.75" hidden="1" customHeight="1">
      <c r="A126" s="25"/>
      <c r="B126" s="21" t="b">
        <v>0</v>
      </c>
      <c r="C126" s="22">
        <v>4.0</v>
      </c>
      <c r="D126" s="23" t="s">
        <v>503</v>
      </c>
      <c r="E126" s="18"/>
      <c r="F126" s="18"/>
      <c r="G126" s="18"/>
      <c r="H126" s="19"/>
      <c r="I126" s="24" t="s">
        <v>504</v>
      </c>
      <c r="J126" s="18"/>
      <c r="K126" s="18"/>
      <c r="L126" s="19"/>
      <c r="M126" s="22" t="str">
        <f t="shared" si="10"/>
        <v>Público Pendente</v>
      </c>
      <c r="N126" s="25"/>
    </row>
    <row r="127" ht="15.75" hidden="1" customHeight="1">
      <c r="A127" s="25"/>
      <c r="C127" s="14"/>
      <c r="N127" s="25"/>
    </row>
    <row r="128" ht="15.75" hidden="1" customHeight="1">
      <c r="A128" s="25"/>
      <c r="C128" s="14"/>
      <c r="N128" s="25"/>
    </row>
    <row r="129" ht="15.75" hidden="1" customHeight="1">
      <c r="A129" s="30"/>
      <c r="B129" s="31" t="s">
        <v>505</v>
      </c>
      <c r="N129" s="30"/>
    </row>
    <row r="130" ht="15.75" hidden="1" customHeight="1">
      <c r="A130" s="30"/>
      <c r="N130" s="30"/>
    </row>
    <row r="131" ht="15.75" hidden="1" customHeight="1">
      <c r="A131" s="30"/>
      <c r="N131" s="30"/>
    </row>
    <row r="132" ht="15.75" hidden="1" customHeight="1">
      <c r="A132" s="30"/>
      <c r="C132" s="14"/>
      <c r="N132" s="30"/>
    </row>
    <row r="133" ht="15.75" hidden="1" customHeight="1">
      <c r="A133" s="30"/>
      <c r="B133" s="32"/>
      <c r="C133" s="32" t="s">
        <v>4</v>
      </c>
      <c r="D133" s="33" t="s">
        <v>5</v>
      </c>
      <c r="E133" s="18"/>
      <c r="F133" s="18"/>
      <c r="G133" s="18"/>
      <c r="H133" s="19"/>
      <c r="I133" s="34" t="s">
        <v>6</v>
      </c>
      <c r="J133" s="18"/>
      <c r="K133" s="18"/>
      <c r="L133" s="19"/>
      <c r="M133" s="32" t="s">
        <v>7</v>
      </c>
      <c r="N133" s="30"/>
    </row>
    <row r="134" ht="15.75" hidden="1" customHeight="1">
      <c r="A134" s="30"/>
      <c r="B134" s="21" t="b">
        <v>0</v>
      </c>
      <c r="C134" s="22">
        <v>1.0</v>
      </c>
      <c r="D134" s="23" t="s">
        <v>508</v>
      </c>
      <c r="E134" s="18"/>
      <c r="F134" s="18"/>
      <c r="G134" s="18"/>
      <c r="H134" s="19"/>
      <c r="I134" s="24" t="s">
        <v>509</v>
      </c>
      <c r="J134" s="18"/>
      <c r="K134" s="18"/>
      <c r="L134" s="19"/>
      <c r="M134" s="22" t="str">
        <f t="shared" ref="M134:M137" si="11">IF(B134=TRUE,"Público Criado","Público Pendente")</f>
        <v>Público Pendente</v>
      </c>
      <c r="N134" s="30"/>
    </row>
    <row r="135" ht="15.75" hidden="1" customHeight="1">
      <c r="A135" s="30"/>
      <c r="B135" s="21" t="b">
        <v>0</v>
      </c>
      <c r="C135" s="22">
        <v>2.0</v>
      </c>
      <c r="D135" s="23" t="s">
        <v>510</v>
      </c>
      <c r="E135" s="18"/>
      <c r="F135" s="18"/>
      <c r="G135" s="18"/>
      <c r="H135" s="19"/>
      <c r="I135" s="24" t="s">
        <v>511</v>
      </c>
      <c r="J135" s="18"/>
      <c r="K135" s="18"/>
      <c r="L135" s="19"/>
      <c r="M135" s="22" t="str">
        <f t="shared" si="11"/>
        <v>Público Pendente</v>
      </c>
      <c r="N135" s="30"/>
    </row>
    <row r="136" ht="15.75" hidden="1" customHeight="1">
      <c r="A136" s="30"/>
      <c r="B136" s="21" t="b">
        <v>0</v>
      </c>
      <c r="C136" s="22">
        <v>3.0</v>
      </c>
      <c r="D136" s="23" t="s">
        <v>512</v>
      </c>
      <c r="E136" s="18"/>
      <c r="F136" s="18"/>
      <c r="G136" s="18"/>
      <c r="H136" s="19"/>
      <c r="I136" s="24" t="s">
        <v>513</v>
      </c>
      <c r="J136" s="18"/>
      <c r="K136" s="18"/>
      <c r="L136" s="19"/>
      <c r="M136" s="22" t="str">
        <f t="shared" si="11"/>
        <v>Público Pendente</v>
      </c>
      <c r="N136" s="30"/>
    </row>
    <row r="137" ht="15.75" hidden="1" customHeight="1">
      <c r="A137" s="30"/>
      <c r="B137" s="21" t="b">
        <v>0</v>
      </c>
      <c r="C137" s="22">
        <v>4.0</v>
      </c>
      <c r="D137" s="23" t="s">
        <v>514</v>
      </c>
      <c r="E137" s="18"/>
      <c r="F137" s="18"/>
      <c r="G137" s="18"/>
      <c r="H137" s="19"/>
      <c r="I137" s="24" t="s">
        <v>515</v>
      </c>
      <c r="J137" s="18"/>
      <c r="K137" s="18"/>
      <c r="L137" s="19"/>
      <c r="M137" s="22" t="str">
        <f t="shared" si="11"/>
        <v>Público Pendente</v>
      </c>
      <c r="N137" s="30"/>
    </row>
    <row r="138" ht="15.75" hidden="1" customHeight="1">
      <c r="A138" s="30"/>
      <c r="C138" s="14"/>
      <c r="N138" s="30"/>
    </row>
    <row r="139" ht="15.75" hidden="1" customHeight="1">
      <c r="A139" s="30"/>
      <c r="C139" s="14"/>
      <c r="N139" s="30"/>
    </row>
    <row r="140" ht="15.75" hidden="1" customHeight="1">
      <c r="A140" s="48"/>
      <c r="B140" s="49" t="s">
        <v>516</v>
      </c>
      <c r="N140" s="48"/>
    </row>
    <row r="141" ht="15.75" hidden="1" customHeight="1">
      <c r="A141" s="48"/>
      <c r="N141" s="48"/>
    </row>
    <row r="142" ht="15.75" hidden="1" customHeight="1">
      <c r="A142" s="48"/>
      <c r="N142" s="48"/>
    </row>
    <row r="143" ht="15.75" hidden="1" customHeight="1">
      <c r="A143" s="48"/>
      <c r="C143" s="14"/>
      <c r="N143" s="48"/>
    </row>
    <row r="144" ht="15.75" hidden="1" customHeight="1">
      <c r="A144" s="48"/>
      <c r="B144" s="50"/>
      <c r="C144" s="50" t="s">
        <v>4</v>
      </c>
      <c r="D144" s="51" t="s">
        <v>5</v>
      </c>
      <c r="E144" s="18"/>
      <c r="F144" s="18"/>
      <c r="G144" s="18"/>
      <c r="H144" s="19"/>
      <c r="I144" s="52" t="s">
        <v>6</v>
      </c>
      <c r="J144" s="18"/>
      <c r="K144" s="18"/>
      <c r="L144" s="19"/>
      <c r="M144" s="50" t="s">
        <v>7</v>
      </c>
      <c r="N144" s="48"/>
    </row>
    <row r="145" ht="15.75" hidden="1" customHeight="1">
      <c r="A145" s="48"/>
      <c r="B145" s="21" t="b">
        <v>0</v>
      </c>
      <c r="C145" s="22">
        <v>1.0</v>
      </c>
      <c r="D145" s="23" t="s">
        <v>517</v>
      </c>
      <c r="E145" s="18"/>
      <c r="F145" s="18"/>
      <c r="G145" s="18"/>
      <c r="H145" s="19"/>
      <c r="I145" s="24" t="s">
        <v>518</v>
      </c>
      <c r="J145" s="18"/>
      <c r="K145" s="18"/>
      <c r="L145" s="19"/>
      <c r="M145" s="22" t="str">
        <f t="shared" ref="M145:M148" si="12">IF(B145=TRUE,"Público Criado","Público Pendente")</f>
        <v>Público Pendente</v>
      </c>
      <c r="N145" s="48"/>
    </row>
    <row r="146" ht="15.75" hidden="1" customHeight="1">
      <c r="A146" s="48"/>
      <c r="B146" s="21" t="b">
        <v>0</v>
      </c>
      <c r="C146" s="22">
        <v>2.0</v>
      </c>
      <c r="D146" s="23" t="s">
        <v>519</v>
      </c>
      <c r="E146" s="18"/>
      <c r="F146" s="18"/>
      <c r="G146" s="18"/>
      <c r="H146" s="19"/>
      <c r="I146" s="24" t="s">
        <v>520</v>
      </c>
      <c r="J146" s="18"/>
      <c r="K146" s="18"/>
      <c r="L146" s="19"/>
      <c r="M146" s="22" t="str">
        <f t="shared" si="12"/>
        <v>Público Pendente</v>
      </c>
      <c r="N146" s="48"/>
    </row>
    <row r="147" ht="15.75" hidden="1" customHeight="1">
      <c r="A147" s="48"/>
      <c r="B147" s="21" t="b">
        <v>0</v>
      </c>
      <c r="C147" s="22">
        <v>3.0</v>
      </c>
      <c r="D147" s="23" t="s">
        <v>521</v>
      </c>
      <c r="E147" s="18"/>
      <c r="F147" s="18"/>
      <c r="G147" s="18"/>
      <c r="H147" s="19"/>
      <c r="I147" s="24" t="s">
        <v>522</v>
      </c>
      <c r="J147" s="18"/>
      <c r="K147" s="18"/>
      <c r="L147" s="19"/>
      <c r="M147" s="22" t="str">
        <f t="shared" si="12"/>
        <v>Público Pendente</v>
      </c>
      <c r="N147" s="48"/>
    </row>
    <row r="148" ht="15.75" hidden="1" customHeight="1">
      <c r="A148" s="48"/>
      <c r="B148" s="21" t="b">
        <v>0</v>
      </c>
      <c r="C148" s="22">
        <v>4.0</v>
      </c>
      <c r="D148" s="23" t="s">
        <v>523</v>
      </c>
      <c r="E148" s="18"/>
      <c r="F148" s="18"/>
      <c r="G148" s="18"/>
      <c r="H148" s="19"/>
      <c r="I148" s="24" t="s">
        <v>524</v>
      </c>
      <c r="J148" s="18"/>
      <c r="K148" s="18"/>
      <c r="L148" s="19"/>
      <c r="M148" s="22" t="str">
        <f t="shared" si="12"/>
        <v>Público Pendente</v>
      </c>
      <c r="N148" s="48"/>
    </row>
    <row r="149" ht="15.75" hidden="1" customHeight="1">
      <c r="A149" s="48"/>
      <c r="C149" s="14"/>
      <c r="N149" s="48"/>
    </row>
    <row r="150" ht="15.75" hidden="1" customHeight="1">
      <c r="A150" s="48"/>
      <c r="C150" s="14"/>
      <c r="N150" s="48"/>
    </row>
    <row r="151" ht="15.75" hidden="1" customHeight="1">
      <c r="A151" s="53"/>
      <c r="B151" s="54" t="s">
        <v>525</v>
      </c>
      <c r="N151" s="53"/>
    </row>
    <row r="152" ht="15.75" hidden="1" customHeight="1">
      <c r="A152" s="53"/>
      <c r="N152" s="53"/>
    </row>
    <row r="153" ht="15.75" hidden="1" customHeight="1">
      <c r="A153" s="53"/>
      <c r="N153" s="53"/>
    </row>
    <row r="154" ht="15.75" hidden="1" customHeight="1">
      <c r="A154" s="53"/>
      <c r="C154" s="14"/>
      <c r="N154" s="53"/>
    </row>
    <row r="155" ht="15.75" hidden="1" customHeight="1">
      <c r="A155" s="53"/>
      <c r="B155" s="55"/>
      <c r="C155" s="55" t="s">
        <v>4</v>
      </c>
      <c r="D155" s="56" t="s">
        <v>5</v>
      </c>
      <c r="E155" s="18"/>
      <c r="F155" s="18"/>
      <c r="G155" s="18"/>
      <c r="H155" s="19"/>
      <c r="I155" s="57" t="s">
        <v>6</v>
      </c>
      <c r="J155" s="18"/>
      <c r="K155" s="18"/>
      <c r="L155" s="19"/>
      <c r="M155" s="55" t="s">
        <v>7</v>
      </c>
      <c r="N155" s="53"/>
    </row>
    <row r="156" ht="15.75" hidden="1" customHeight="1">
      <c r="A156" s="53"/>
      <c r="B156" s="21" t="b">
        <v>0</v>
      </c>
      <c r="C156" s="22">
        <v>1.0</v>
      </c>
      <c r="D156" s="23" t="s">
        <v>526</v>
      </c>
      <c r="E156" s="18"/>
      <c r="F156" s="18"/>
      <c r="G156" s="18"/>
      <c r="H156" s="19"/>
      <c r="I156" s="24" t="s">
        <v>527</v>
      </c>
      <c r="J156" s="18"/>
      <c r="K156" s="18"/>
      <c r="L156" s="19"/>
      <c r="M156" s="22" t="str">
        <f t="shared" ref="M156:M159" si="13">IF(B156=TRUE,"Público Criado","Público Pendente")</f>
        <v>Público Pendente</v>
      </c>
      <c r="N156" s="53"/>
    </row>
    <row r="157" ht="15.75" hidden="1" customHeight="1">
      <c r="A157" s="53"/>
      <c r="B157" s="21" t="b">
        <v>0</v>
      </c>
      <c r="C157" s="22">
        <v>2.0</v>
      </c>
      <c r="D157" s="23" t="s">
        <v>528</v>
      </c>
      <c r="E157" s="18"/>
      <c r="F157" s="18"/>
      <c r="G157" s="18"/>
      <c r="H157" s="19"/>
      <c r="I157" s="24" t="s">
        <v>529</v>
      </c>
      <c r="J157" s="18"/>
      <c r="K157" s="18"/>
      <c r="L157" s="19"/>
      <c r="M157" s="22" t="str">
        <f t="shared" si="13"/>
        <v>Público Pendente</v>
      </c>
      <c r="N157" s="53"/>
    </row>
    <row r="158" ht="15.75" hidden="1" customHeight="1">
      <c r="A158" s="53"/>
      <c r="B158" s="21" t="b">
        <v>0</v>
      </c>
      <c r="C158" s="22">
        <v>3.0</v>
      </c>
      <c r="D158" s="23" t="s">
        <v>530</v>
      </c>
      <c r="E158" s="18"/>
      <c r="F158" s="18"/>
      <c r="G158" s="18"/>
      <c r="H158" s="19"/>
      <c r="I158" s="24" t="s">
        <v>531</v>
      </c>
      <c r="J158" s="18"/>
      <c r="K158" s="18"/>
      <c r="L158" s="19"/>
      <c r="M158" s="22" t="str">
        <f t="shared" si="13"/>
        <v>Público Pendente</v>
      </c>
      <c r="N158" s="53"/>
    </row>
    <row r="159" ht="15.75" hidden="1" customHeight="1">
      <c r="A159" s="53"/>
      <c r="B159" s="21" t="b">
        <v>0</v>
      </c>
      <c r="C159" s="22">
        <v>4.0</v>
      </c>
      <c r="D159" s="23" t="s">
        <v>532</v>
      </c>
      <c r="E159" s="18"/>
      <c r="F159" s="18"/>
      <c r="G159" s="18"/>
      <c r="H159" s="19"/>
      <c r="I159" s="24" t="s">
        <v>533</v>
      </c>
      <c r="J159" s="18"/>
      <c r="K159" s="18"/>
      <c r="L159" s="19"/>
      <c r="M159" s="22" t="str">
        <f t="shared" si="13"/>
        <v>Público Pendente</v>
      </c>
      <c r="N159" s="53"/>
    </row>
    <row r="160" ht="15.75" hidden="1" customHeight="1">
      <c r="A160" s="53"/>
      <c r="C160" s="14"/>
      <c r="N160" s="53"/>
    </row>
    <row r="161" ht="15.75" hidden="1" customHeight="1">
      <c r="A161" s="53"/>
      <c r="C161" s="14"/>
      <c r="N161" s="53"/>
    </row>
    <row r="162" ht="15.0" hidden="1" customHeight="1">
      <c r="A162" s="1"/>
      <c r="B162" s="15" t="s">
        <v>534</v>
      </c>
      <c r="N162" s="1"/>
    </row>
    <row r="163" ht="15.75" hidden="1" customHeight="1">
      <c r="A163" s="1"/>
      <c r="N163" s="1"/>
    </row>
    <row r="164" ht="15.75" hidden="1" customHeight="1">
      <c r="A164" s="1"/>
      <c r="N164" s="1"/>
    </row>
    <row r="165" ht="15.75" hidden="1" customHeight="1">
      <c r="A165" s="1"/>
      <c r="C165" s="14"/>
      <c r="N165" s="1"/>
    </row>
    <row r="166" ht="15.75" hidden="1" customHeight="1">
      <c r="A166" s="1"/>
      <c r="B166" s="16"/>
      <c r="C166" s="16" t="s">
        <v>4</v>
      </c>
      <c r="D166" s="17" t="s">
        <v>5</v>
      </c>
      <c r="E166" s="18"/>
      <c r="F166" s="18"/>
      <c r="G166" s="18"/>
      <c r="H166" s="19"/>
      <c r="I166" s="20" t="s">
        <v>6</v>
      </c>
      <c r="J166" s="18"/>
      <c r="K166" s="18"/>
      <c r="L166" s="19"/>
      <c r="M166" s="16" t="s">
        <v>7</v>
      </c>
      <c r="N166" s="1"/>
    </row>
    <row r="167" ht="15.75" hidden="1" customHeight="1">
      <c r="A167" s="1"/>
      <c r="B167" s="21" t="b">
        <v>0</v>
      </c>
      <c r="C167" s="22">
        <v>1.0</v>
      </c>
      <c r="D167" s="23" t="s">
        <v>535</v>
      </c>
      <c r="E167" s="18"/>
      <c r="F167" s="18"/>
      <c r="G167" s="18"/>
      <c r="H167" s="19"/>
      <c r="I167" s="24" t="s">
        <v>536</v>
      </c>
      <c r="J167" s="18"/>
      <c r="K167" s="18"/>
      <c r="L167" s="19"/>
      <c r="M167" s="22" t="str">
        <f t="shared" ref="M167:M170" si="14">IF(B167=TRUE,"Público Criado","Público Pendente")</f>
        <v>Público Pendente</v>
      </c>
      <c r="N167" s="1"/>
    </row>
    <row r="168" ht="15.75" hidden="1" customHeight="1">
      <c r="A168" s="1"/>
      <c r="B168" s="21" t="b">
        <v>0</v>
      </c>
      <c r="C168" s="22">
        <v>2.0</v>
      </c>
      <c r="D168" s="23" t="s">
        <v>537</v>
      </c>
      <c r="E168" s="18"/>
      <c r="F168" s="18"/>
      <c r="G168" s="18"/>
      <c r="H168" s="19"/>
      <c r="I168" s="24" t="s">
        <v>538</v>
      </c>
      <c r="J168" s="18"/>
      <c r="K168" s="18"/>
      <c r="L168" s="19"/>
      <c r="M168" s="22" t="str">
        <f t="shared" si="14"/>
        <v>Público Pendente</v>
      </c>
      <c r="N168" s="1"/>
    </row>
    <row r="169" ht="15.75" hidden="1" customHeight="1">
      <c r="A169" s="1"/>
      <c r="B169" s="21" t="b">
        <v>0</v>
      </c>
      <c r="C169" s="22">
        <v>3.0</v>
      </c>
      <c r="D169" s="23" t="s">
        <v>539</v>
      </c>
      <c r="E169" s="18"/>
      <c r="F169" s="18"/>
      <c r="G169" s="18"/>
      <c r="H169" s="19"/>
      <c r="I169" s="24" t="s">
        <v>540</v>
      </c>
      <c r="J169" s="18"/>
      <c r="K169" s="18"/>
      <c r="L169" s="19"/>
      <c r="M169" s="22" t="str">
        <f t="shared" si="14"/>
        <v>Público Pendente</v>
      </c>
      <c r="N169" s="1"/>
    </row>
    <row r="170" ht="15.75" hidden="1" customHeight="1">
      <c r="A170" s="1"/>
      <c r="B170" s="21" t="b">
        <v>0</v>
      </c>
      <c r="C170" s="22">
        <v>4.0</v>
      </c>
      <c r="D170" s="23" t="s">
        <v>541</v>
      </c>
      <c r="E170" s="18"/>
      <c r="F170" s="18"/>
      <c r="G170" s="18"/>
      <c r="H170" s="19"/>
      <c r="I170" s="24" t="s">
        <v>542</v>
      </c>
      <c r="J170" s="18"/>
      <c r="K170" s="18"/>
      <c r="L170" s="19"/>
      <c r="M170" s="22" t="str">
        <f t="shared" si="14"/>
        <v>Público Pendente</v>
      </c>
      <c r="N170" s="1"/>
    </row>
    <row r="171" ht="15.75" hidden="1" customHeight="1">
      <c r="A171" s="1"/>
      <c r="C171" s="14"/>
      <c r="N171" s="1"/>
    </row>
    <row r="172" ht="15.75" hidden="1" customHeight="1">
      <c r="A172" s="1"/>
      <c r="C172" s="14"/>
      <c r="N172" s="1"/>
    </row>
    <row r="173" ht="15.0" customHeight="1">
      <c r="A173" s="1"/>
      <c r="B173" s="15" t="s">
        <v>543</v>
      </c>
      <c r="N173" s="1"/>
    </row>
    <row r="174" ht="15.75" customHeight="1">
      <c r="A174" s="1"/>
      <c r="N174" s="1"/>
    </row>
    <row r="175" ht="15.75" customHeight="1">
      <c r="A175" s="1"/>
      <c r="N175" s="1"/>
    </row>
    <row r="176" ht="15.75" customHeight="1">
      <c r="A176" s="1"/>
      <c r="C176" s="14"/>
      <c r="N176" s="1"/>
    </row>
    <row r="177" ht="15.75" customHeight="1">
      <c r="A177" s="1"/>
      <c r="B177" s="16"/>
      <c r="C177" s="16" t="s">
        <v>4</v>
      </c>
      <c r="D177" s="17" t="s">
        <v>5</v>
      </c>
      <c r="E177" s="18"/>
      <c r="F177" s="18"/>
      <c r="G177" s="18"/>
      <c r="H177" s="19"/>
      <c r="I177" s="20" t="s">
        <v>6</v>
      </c>
      <c r="J177" s="18"/>
      <c r="K177" s="18"/>
      <c r="L177" s="19"/>
      <c r="M177" s="16" t="s">
        <v>7</v>
      </c>
      <c r="N177" s="1"/>
    </row>
    <row r="178" ht="15.75" customHeight="1">
      <c r="A178" s="1"/>
      <c r="B178" s="21" t="b">
        <v>0</v>
      </c>
      <c r="C178" s="22">
        <v>1.0</v>
      </c>
      <c r="D178" s="23" t="s">
        <v>544</v>
      </c>
      <c r="E178" s="18"/>
      <c r="F178" s="18"/>
      <c r="G178" s="18"/>
      <c r="H178" s="19"/>
      <c r="I178" s="24" t="s">
        <v>545</v>
      </c>
      <c r="J178" s="18"/>
      <c r="K178" s="18"/>
      <c r="L178" s="19"/>
      <c r="M178" s="22" t="str">
        <f t="shared" ref="M178:M182" si="15">IF(B178=TRUE,"Público Criado","Público Pendente")</f>
        <v>Público Pendente</v>
      </c>
      <c r="N178" s="1"/>
    </row>
    <row r="179" ht="15.75" customHeight="1">
      <c r="A179" s="1"/>
      <c r="B179" s="21" t="b">
        <v>0</v>
      </c>
      <c r="C179" s="22">
        <v>2.0</v>
      </c>
      <c r="D179" s="23" t="s">
        <v>546</v>
      </c>
      <c r="E179" s="18"/>
      <c r="F179" s="18"/>
      <c r="G179" s="18"/>
      <c r="H179" s="19"/>
      <c r="I179" s="24" t="s">
        <v>547</v>
      </c>
      <c r="J179" s="18"/>
      <c r="K179" s="18"/>
      <c r="L179" s="19"/>
      <c r="M179" s="22" t="str">
        <f t="shared" si="15"/>
        <v>Público Pendente</v>
      </c>
      <c r="N179" s="1"/>
    </row>
    <row r="180" ht="15.75" customHeight="1">
      <c r="A180" s="1"/>
      <c r="B180" s="21" t="b">
        <v>0</v>
      </c>
      <c r="C180" s="22">
        <v>3.0</v>
      </c>
      <c r="D180" s="23" t="s">
        <v>548</v>
      </c>
      <c r="E180" s="18"/>
      <c r="F180" s="18"/>
      <c r="G180" s="18"/>
      <c r="H180" s="19"/>
      <c r="I180" s="24" t="s">
        <v>549</v>
      </c>
      <c r="J180" s="18"/>
      <c r="K180" s="18"/>
      <c r="L180" s="19"/>
      <c r="M180" s="22" t="str">
        <f t="shared" si="15"/>
        <v>Público Pendente</v>
      </c>
      <c r="N180" s="1"/>
    </row>
    <row r="181" ht="15.75" customHeight="1">
      <c r="A181" s="1"/>
      <c r="B181" s="21" t="b">
        <v>0</v>
      </c>
      <c r="C181" s="22">
        <v>4.0</v>
      </c>
      <c r="D181" s="23" t="s">
        <v>550</v>
      </c>
      <c r="E181" s="18"/>
      <c r="F181" s="18"/>
      <c r="G181" s="18"/>
      <c r="H181" s="19"/>
      <c r="I181" s="24" t="s">
        <v>551</v>
      </c>
      <c r="J181" s="18"/>
      <c r="K181" s="18"/>
      <c r="L181" s="19"/>
      <c r="M181" s="22" t="str">
        <f t="shared" si="15"/>
        <v>Público Pendente</v>
      </c>
      <c r="N181" s="1"/>
    </row>
    <row r="182" ht="15.75" customHeight="1">
      <c r="A182" s="1"/>
      <c r="B182" s="21" t="b">
        <v>0</v>
      </c>
      <c r="C182" s="22">
        <v>5.0</v>
      </c>
      <c r="D182" s="23" t="s">
        <v>552</v>
      </c>
      <c r="E182" s="18"/>
      <c r="F182" s="18"/>
      <c r="G182" s="18"/>
      <c r="H182" s="19"/>
      <c r="I182" s="24" t="s">
        <v>553</v>
      </c>
      <c r="J182" s="18"/>
      <c r="K182" s="18"/>
      <c r="L182" s="19"/>
      <c r="M182" s="22" t="str">
        <f t="shared" si="15"/>
        <v>Público Pendente</v>
      </c>
      <c r="N182" s="1"/>
    </row>
    <row r="183" ht="15.75" customHeight="1">
      <c r="A183" s="1"/>
      <c r="C183" s="14"/>
      <c r="N183" s="1"/>
    </row>
    <row r="184" ht="15.75" hidden="1" customHeight="1">
      <c r="A184" s="1"/>
      <c r="C184" s="14"/>
      <c r="N184" s="1"/>
    </row>
    <row r="185" ht="15.75" hidden="1" customHeight="1">
      <c r="A185" s="1"/>
      <c r="C185" s="14"/>
      <c r="N185" s="1"/>
    </row>
    <row r="186" ht="15.75" hidden="1" customHeight="1">
      <c r="A186" s="1"/>
      <c r="C186" s="14"/>
      <c r="N186" s="1"/>
    </row>
    <row r="187" ht="15.75" hidden="1" customHeight="1">
      <c r="A187" s="1"/>
      <c r="C187" s="14"/>
      <c r="N187" s="1"/>
    </row>
    <row r="188" ht="15.75" hidden="1" customHeight="1">
      <c r="A188" s="1"/>
      <c r="C188" s="14"/>
      <c r="N188" s="1"/>
    </row>
    <row r="189" ht="15.75" hidden="1" customHeight="1">
      <c r="A189" s="1"/>
      <c r="C189" s="14"/>
      <c r="N189" s="1"/>
    </row>
    <row r="190" ht="15.75" hidden="1" customHeight="1">
      <c r="A190" s="1"/>
      <c r="C190" s="14"/>
      <c r="N190" s="1"/>
    </row>
    <row r="191" ht="15.75" hidden="1" customHeight="1">
      <c r="A191" s="1"/>
      <c r="C191" s="14"/>
      <c r="N191" s="1"/>
    </row>
    <row r="192" ht="15.75" hidden="1" customHeight="1">
      <c r="A192" s="1"/>
      <c r="C192" s="14"/>
      <c r="N192" s="1"/>
    </row>
    <row r="193" ht="15.75" hidden="1" customHeight="1">
      <c r="A193" s="1"/>
      <c r="C193" s="14"/>
      <c r="N193" s="1"/>
    </row>
    <row r="194" ht="15.75" hidden="1" customHeight="1">
      <c r="A194" s="1"/>
      <c r="C194" s="14"/>
      <c r="N194" s="1"/>
    </row>
    <row r="195" ht="15.75" hidden="1" customHeight="1">
      <c r="A195" s="1"/>
      <c r="C195" s="14"/>
      <c r="N195" s="1"/>
    </row>
    <row r="196" ht="15.75" hidden="1" customHeight="1">
      <c r="A196" s="1"/>
      <c r="C196" s="14"/>
      <c r="N196" s="1"/>
    </row>
    <row r="197" ht="15.75" hidden="1" customHeight="1">
      <c r="A197" s="1"/>
      <c r="C197" s="14"/>
      <c r="N197" s="1"/>
    </row>
    <row r="198" ht="15.75" hidden="1" customHeight="1">
      <c r="A198" s="1"/>
      <c r="C198" s="14"/>
      <c r="N198" s="1"/>
    </row>
    <row r="199" ht="15.75" hidden="1" customHeight="1">
      <c r="A199" s="1"/>
      <c r="C199" s="14"/>
      <c r="N199" s="1"/>
    </row>
    <row r="200" ht="15.75" hidden="1" customHeight="1">
      <c r="A200" s="1"/>
      <c r="C200" s="14"/>
      <c r="N200" s="1"/>
    </row>
    <row r="201" ht="15.75" hidden="1" customHeight="1">
      <c r="A201" s="1"/>
      <c r="C201" s="14"/>
      <c r="N201" s="1"/>
    </row>
    <row r="202" ht="15.75" hidden="1" customHeight="1">
      <c r="A202" s="1"/>
      <c r="C202" s="14"/>
      <c r="N202" s="1"/>
    </row>
    <row r="203" ht="15.75" hidden="1" customHeight="1">
      <c r="A203" s="1"/>
      <c r="C203" s="14"/>
      <c r="N203" s="1"/>
    </row>
    <row r="204" ht="15.75" hidden="1" customHeight="1">
      <c r="A204" s="1"/>
      <c r="C204" s="14"/>
      <c r="N204" s="1"/>
    </row>
    <row r="205" ht="15.75" hidden="1" customHeight="1">
      <c r="A205" s="1"/>
      <c r="C205" s="14"/>
      <c r="N205" s="1"/>
    </row>
    <row r="206" ht="15.75" hidden="1" customHeight="1">
      <c r="A206" s="1"/>
      <c r="C206" s="14"/>
      <c r="N206" s="1"/>
    </row>
    <row r="207" ht="15.75" hidden="1" customHeight="1">
      <c r="A207" s="1"/>
      <c r="C207" s="14"/>
      <c r="N207" s="1"/>
    </row>
    <row r="208" ht="15.75" hidden="1" customHeight="1">
      <c r="A208" s="1"/>
      <c r="C208" s="14"/>
      <c r="N208" s="1"/>
    </row>
    <row r="209" ht="15.75" hidden="1" customHeight="1">
      <c r="A209" s="1"/>
      <c r="C209" s="14"/>
      <c r="N209" s="1"/>
    </row>
    <row r="210" ht="15.75" hidden="1" customHeight="1">
      <c r="A210" s="1"/>
      <c r="C210" s="14"/>
      <c r="N210" s="1"/>
    </row>
    <row r="211" ht="15.75" hidden="1" customHeight="1">
      <c r="A211" s="1"/>
      <c r="C211" s="14"/>
      <c r="N211" s="1"/>
    </row>
    <row r="212" ht="15.75" hidden="1" customHeight="1">
      <c r="A212" s="1"/>
      <c r="C212" s="14"/>
      <c r="N212" s="1"/>
    </row>
    <row r="213" ht="15.75" hidden="1" customHeight="1">
      <c r="A213" s="1"/>
      <c r="C213" s="14"/>
      <c r="N213" s="1"/>
    </row>
    <row r="214" ht="15.75" hidden="1" customHeight="1">
      <c r="A214" s="1"/>
      <c r="C214" s="14"/>
      <c r="N214" s="1"/>
    </row>
    <row r="215" ht="15.75" hidden="1" customHeight="1">
      <c r="A215" s="1"/>
      <c r="C215" s="14"/>
      <c r="N215" s="1"/>
    </row>
    <row r="216" ht="15.75" hidden="1" customHeight="1">
      <c r="A216" s="1"/>
      <c r="C216" s="14"/>
      <c r="N216" s="1"/>
    </row>
    <row r="217" ht="15.75" hidden="1" customHeight="1">
      <c r="A217" s="1"/>
      <c r="C217" s="14"/>
      <c r="N217" s="1"/>
    </row>
    <row r="218" ht="15.75" hidden="1" customHeight="1">
      <c r="A218" s="1"/>
      <c r="C218" s="14"/>
      <c r="N218" s="1"/>
    </row>
    <row r="219" ht="15.75" hidden="1" customHeight="1">
      <c r="A219" s="1"/>
      <c r="C219" s="14"/>
      <c r="N219" s="1"/>
    </row>
    <row r="220" ht="15.75" hidden="1" customHeight="1">
      <c r="A220" s="1"/>
      <c r="C220" s="14"/>
      <c r="N220" s="1"/>
    </row>
    <row r="221" ht="15.75" hidden="1" customHeight="1">
      <c r="A221" s="1"/>
      <c r="C221" s="14"/>
      <c r="N221" s="1"/>
    </row>
    <row r="222" ht="15.75" hidden="1" customHeight="1">
      <c r="A222" s="1"/>
      <c r="C222" s="14"/>
      <c r="N222" s="1"/>
    </row>
    <row r="223" ht="15.75" hidden="1" customHeight="1">
      <c r="A223" s="1"/>
      <c r="C223" s="14"/>
      <c r="N223" s="1"/>
    </row>
    <row r="224" ht="15.75" hidden="1" customHeight="1">
      <c r="A224" s="1"/>
      <c r="C224" s="14"/>
      <c r="N224" s="1"/>
    </row>
    <row r="225" ht="15.75" hidden="1" customHeight="1">
      <c r="A225" s="1"/>
      <c r="C225" s="14"/>
      <c r="N225" s="1"/>
    </row>
    <row r="226" ht="15.75" hidden="1" customHeight="1">
      <c r="A226" s="1"/>
      <c r="C226" s="14"/>
      <c r="N226" s="1"/>
    </row>
    <row r="227" ht="15.75" hidden="1" customHeight="1">
      <c r="A227" s="1"/>
      <c r="C227" s="14"/>
      <c r="N227" s="1"/>
    </row>
    <row r="228" ht="15.75" hidden="1" customHeight="1">
      <c r="A228" s="1"/>
      <c r="C228" s="14"/>
      <c r="N228" s="1"/>
    </row>
    <row r="229" ht="15.75" hidden="1" customHeight="1">
      <c r="A229" s="1"/>
      <c r="C229" s="14"/>
      <c r="N229" s="1"/>
    </row>
    <row r="230" ht="15.75" hidden="1" customHeight="1">
      <c r="A230" s="1"/>
      <c r="C230" s="14"/>
      <c r="N230" s="1"/>
    </row>
    <row r="231" ht="15.75" hidden="1" customHeight="1">
      <c r="A231" s="1"/>
      <c r="C231" s="14"/>
      <c r="N231" s="1"/>
    </row>
    <row r="232" ht="15.75" hidden="1" customHeight="1">
      <c r="A232" s="1"/>
      <c r="C232" s="14"/>
      <c r="N232" s="1"/>
    </row>
    <row r="233" ht="15.75" hidden="1" customHeight="1">
      <c r="A233" s="1"/>
      <c r="C233" s="14"/>
      <c r="N233" s="1"/>
    </row>
    <row r="234" ht="15.75" hidden="1" customHeight="1">
      <c r="A234" s="1"/>
      <c r="C234" s="14"/>
      <c r="N234" s="1"/>
    </row>
    <row r="235" ht="15.75" hidden="1" customHeight="1">
      <c r="A235" s="1"/>
      <c r="C235" s="14"/>
      <c r="N235" s="1"/>
    </row>
    <row r="236" ht="15.75" hidden="1" customHeight="1">
      <c r="A236" s="1"/>
      <c r="C236" s="14"/>
      <c r="N236" s="1"/>
    </row>
    <row r="237" ht="15.75" hidden="1" customHeight="1">
      <c r="A237" s="1"/>
      <c r="C237" s="14"/>
      <c r="N237" s="1"/>
    </row>
    <row r="238" ht="15.75" hidden="1" customHeight="1">
      <c r="A238" s="1"/>
      <c r="C238" s="14"/>
      <c r="N238" s="1"/>
    </row>
    <row r="239" ht="15.75" hidden="1" customHeight="1">
      <c r="A239" s="1"/>
      <c r="C239" s="14"/>
      <c r="N239" s="1"/>
    </row>
    <row r="240" ht="15.75" hidden="1" customHeight="1">
      <c r="A240" s="1"/>
      <c r="C240" s="14"/>
      <c r="N240" s="1"/>
    </row>
    <row r="241" ht="15.75" hidden="1" customHeight="1">
      <c r="A241" s="1"/>
      <c r="C241" s="14"/>
      <c r="N241" s="1"/>
    </row>
    <row r="242" ht="15.75" hidden="1" customHeight="1">
      <c r="A242" s="1"/>
      <c r="C242" s="14"/>
      <c r="N242" s="1"/>
    </row>
    <row r="243" ht="15.75" hidden="1" customHeight="1">
      <c r="A243" s="1"/>
      <c r="C243" s="14"/>
      <c r="N243" s="1"/>
    </row>
    <row r="244" ht="15.75" hidden="1" customHeight="1">
      <c r="A244" s="1"/>
      <c r="C244" s="14"/>
      <c r="N244" s="1"/>
    </row>
    <row r="245" ht="15.75" hidden="1" customHeight="1">
      <c r="A245" s="1"/>
      <c r="C245" s="14"/>
      <c r="N245" s="1"/>
    </row>
    <row r="246" ht="15.75" hidden="1" customHeight="1">
      <c r="A246" s="1"/>
      <c r="C246" s="14"/>
      <c r="N246" s="1"/>
    </row>
    <row r="247" ht="15.75" hidden="1" customHeight="1">
      <c r="A247" s="1"/>
      <c r="C247" s="14"/>
      <c r="N247" s="1"/>
    </row>
    <row r="248" ht="15.75" hidden="1" customHeight="1">
      <c r="A248" s="1"/>
      <c r="C248" s="14"/>
      <c r="N248" s="1"/>
    </row>
    <row r="249" ht="15.75" hidden="1" customHeight="1">
      <c r="A249" s="1"/>
      <c r="C249" s="14"/>
      <c r="N249" s="1"/>
    </row>
    <row r="250" ht="15.75" hidden="1" customHeight="1">
      <c r="A250" s="1"/>
      <c r="C250" s="14"/>
      <c r="N250" s="1"/>
    </row>
    <row r="251" ht="15.75" hidden="1" customHeight="1">
      <c r="A251" s="1"/>
      <c r="C251" s="14"/>
      <c r="N251" s="1"/>
    </row>
    <row r="252" ht="15.75" hidden="1" customHeight="1">
      <c r="A252" s="1"/>
      <c r="C252" s="14"/>
      <c r="N252" s="1"/>
    </row>
    <row r="253" ht="15.75" hidden="1" customHeight="1">
      <c r="A253" s="1"/>
      <c r="C253" s="14"/>
      <c r="N253" s="1"/>
    </row>
    <row r="254" ht="15.75" hidden="1" customHeight="1">
      <c r="A254" s="1"/>
      <c r="C254" s="14"/>
      <c r="N254" s="1"/>
    </row>
    <row r="255" ht="15.75" hidden="1" customHeight="1">
      <c r="A255" s="1"/>
      <c r="C255" s="14"/>
      <c r="N255" s="1"/>
    </row>
    <row r="256" ht="15.75" hidden="1" customHeight="1">
      <c r="A256" s="1"/>
      <c r="C256" s="14"/>
      <c r="N256" s="1"/>
    </row>
    <row r="257" ht="15.75" hidden="1" customHeight="1">
      <c r="A257" s="1"/>
      <c r="C257" s="14"/>
      <c r="N257" s="1"/>
    </row>
    <row r="258" ht="15.75" hidden="1" customHeight="1">
      <c r="A258" s="1"/>
      <c r="C258" s="14"/>
      <c r="N258" s="1"/>
    </row>
    <row r="259" ht="15.75" hidden="1" customHeight="1">
      <c r="A259" s="1"/>
      <c r="C259" s="14"/>
      <c r="N259" s="1"/>
    </row>
    <row r="260" ht="15.75" hidden="1" customHeight="1">
      <c r="A260" s="1"/>
      <c r="C260" s="14"/>
      <c r="N260" s="1"/>
    </row>
    <row r="261" ht="15.75" hidden="1" customHeight="1">
      <c r="A261" s="1"/>
      <c r="C261" s="14"/>
      <c r="N261" s="1"/>
    </row>
    <row r="262" ht="15.75" hidden="1" customHeight="1">
      <c r="A262" s="1"/>
      <c r="C262" s="14"/>
      <c r="N262" s="1"/>
    </row>
    <row r="263" ht="15.75" hidden="1" customHeight="1">
      <c r="A263" s="1"/>
      <c r="C263" s="14"/>
      <c r="N263" s="1"/>
    </row>
    <row r="264" ht="15.75" hidden="1" customHeight="1">
      <c r="A264" s="1"/>
      <c r="C264" s="14"/>
      <c r="N264" s="1"/>
    </row>
    <row r="265" ht="15.75" hidden="1" customHeight="1">
      <c r="A265" s="1"/>
      <c r="C265" s="14"/>
      <c r="N265" s="1"/>
    </row>
    <row r="266" ht="15.75" hidden="1" customHeight="1">
      <c r="A266" s="1"/>
      <c r="C266" s="14"/>
      <c r="N266" s="1"/>
    </row>
    <row r="267" ht="15.75" hidden="1" customHeight="1">
      <c r="A267" s="1"/>
      <c r="C267" s="14"/>
      <c r="N267" s="1"/>
    </row>
    <row r="268" ht="15.75" hidden="1" customHeight="1">
      <c r="A268" s="1"/>
      <c r="C268" s="14"/>
      <c r="N268" s="1"/>
    </row>
    <row r="269" ht="15.75" hidden="1" customHeight="1">
      <c r="A269" s="1"/>
      <c r="C269" s="14"/>
      <c r="N269" s="1"/>
    </row>
    <row r="270" ht="15.75" hidden="1" customHeight="1">
      <c r="A270" s="1"/>
      <c r="C270" s="14"/>
      <c r="N270" s="1"/>
    </row>
    <row r="271" ht="15.75" hidden="1" customHeight="1">
      <c r="A271" s="1"/>
      <c r="C271" s="14"/>
      <c r="N271" s="1"/>
    </row>
    <row r="272" ht="15.75" hidden="1" customHeight="1">
      <c r="A272" s="1"/>
      <c r="C272" s="14"/>
      <c r="N272" s="1"/>
    </row>
    <row r="273" ht="15.75" hidden="1" customHeight="1">
      <c r="A273" s="1"/>
      <c r="C273" s="14"/>
      <c r="N273" s="1"/>
    </row>
    <row r="274" ht="15.75" hidden="1" customHeight="1">
      <c r="A274" s="1"/>
      <c r="C274" s="14"/>
      <c r="N274" s="1"/>
    </row>
    <row r="275" ht="15.75" hidden="1" customHeight="1">
      <c r="A275" s="1"/>
      <c r="C275" s="14"/>
      <c r="N275" s="1"/>
    </row>
    <row r="276" ht="15.75" hidden="1" customHeight="1">
      <c r="A276" s="1"/>
      <c r="C276" s="14"/>
      <c r="N276" s="1"/>
    </row>
    <row r="277" ht="15.75" hidden="1" customHeight="1">
      <c r="A277" s="1"/>
      <c r="C277" s="14"/>
      <c r="N277" s="1"/>
    </row>
    <row r="278" ht="15.75" hidden="1" customHeight="1">
      <c r="A278" s="1"/>
      <c r="C278" s="14"/>
      <c r="N278" s="1"/>
    </row>
    <row r="279" ht="15.75" hidden="1" customHeight="1">
      <c r="A279" s="1"/>
      <c r="C279" s="14"/>
      <c r="N279" s="1"/>
    </row>
    <row r="280" ht="15.75" hidden="1" customHeight="1">
      <c r="A280" s="1"/>
      <c r="C280" s="14"/>
      <c r="N280" s="1"/>
    </row>
    <row r="281" ht="15.75" hidden="1" customHeight="1">
      <c r="A281" s="1"/>
      <c r="C281" s="14"/>
      <c r="N281" s="1"/>
    </row>
    <row r="282" ht="15.75" hidden="1" customHeight="1">
      <c r="A282" s="1"/>
      <c r="C282" s="14"/>
      <c r="N282" s="1"/>
    </row>
    <row r="283" ht="15.75" hidden="1" customHeight="1">
      <c r="A283" s="1"/>
      <c r="C283" s="14"/>
      <c r="N283" s="1"/>
    </row>
    <row r="284" ht="15.75" hidden="1" customHeight="1">
      <c r="A284" s="1"/>
      <c r="C284" s="14"/>
      <c r="N284" s="1"/>
    </row>
    <row r="285" ht="15.75" hidden="1" customHeight="1">
      <c r="A285" s="1"/>
      <c r="C285" s="14"/>
      <c r="N285" s="1"/>
    </row>
    <row r="286" ht="15.75" hidden="1" customHeight="1">
      <c r="A286" s="1"/>
      <c r="C286" s="14"/>
      <c r="N286" s="1"/>
    </row>
    <row r="287" ht="15.75" hidden="1" customHeight="1">
      <c r="A287" s="1"/>
      <c r="C287" s="14"/>
      <c r="N287" s="1"/>
    </row>
    <row r="288" ht="15.75" hidden="1" customHeight="1">
      <c r="A288" s="1"/>
      <c r="C288" s="14"/>
      <c r="N288" s="1"/>
    </row>
    <row r="289" ht="15.75" hidden="1" customHeight="1">
      <c r="A289" s="1"/>
      <c r="C289" s="14"/>
      <c r="N289" s="1"/>
    </row>
    <row r="290" ht="15.75" hidden="1" customHeight="1">
      <c r="A290" s="1"/>
      <c r="C290" s="14"/>
      <c r="N290" s="1"/>
    </row>
    <row r="291" ht="15.75" hidden="1" customHeight="1">
      <c r="A291" s="1"/>
      <c r="C291" s="14"/>
      <c r="N291" s="1"/>
    </row>
    <row r="292" ht="15.75" hidden="1" customHeight="1">
      <c r="A292" s="1"/>
      <c r="C292" s="14"/>
      <c r="N292" s="1"/>
    </row>
    <row r="293" ht="15.75" hidden="1" customHeight="1">
      <c r="A293" s="1"/>
      <c r="C293" s="14"/>
      <c r="N293" s="1"/>
    </row>
    <row r="294" ht="15.75" hidden="1" customHeight="1">
      <c r="A294" s="1"/>
      <c r="C294" s="14"/>
      <c r="N294" s="1"/>
    </row>
    <row r="295" ht="15.75" hidden="1" customHeight="1">
      <c r="A295" s="1"/>
      <c r="C295" s="14"/>
      <c r="N295" s="1"/>
    </row>
    <row r="296" ht="15.75" hidden="1" customHeight="1">
      <c r="A296" s="1"/>
      <c r="C296" s="14"/>
      <c r="N296" s="1"/>
    </row>
    <row r="297" ht="15.75" hidden="1" customHeight="1">
      <c r="A297" s="1"/>
      <c r="C297" s="14"/>
      <c r="N297" s="1"/>
    </row>
    <row r="298" ht="15.75" hidden="1" customHeight="1">
      <c r="A298" s="1"/>
      <c r="C298" s="14"/>
      <c r="N298" s="1"/>
    </row>
    <row r="299" ht="15.75" hidden="1" customHeight="1">
      <c r="A299" s="1"/>
      <c r="C299" s="14"/>
      <c r="N299" s="1"/>
    </row>
    <row r="300" ht="15.75" hidden="1" customHeight="1">
      <c r="A300" s="1"/>
      <c r="C300" s="14"/>
      <c r="N300" s="1"/>
    </row>
    <row r="301" ht="15.75" hidden="1" customHeight="1">
      <c r="A301" s="1"/>
      <c r="C301" s="14"/>
      <c r="N301" s="1"/>
    </row>
    <row r="302" ht="15.75" hidden="1" customHeight="1">
      <c r="A302" s="1"/>
      <c r="C302" s="14"/>
      <c r="N302" s="1"/>
    </row>
    <row r="303" ht="15.75" hidden="1" customHeight="1">
      <c r="A303" s="1"/>
      <c r="C303" s="14"/>
      <c r="N303" s="1"/>
    </row>
    <row r="304" ht="15.75" hidden="1" customHeight="1">
      <c r="A304" s="1"/>
      <c r="C304" s="14"/>
      <c r="N304" s="1"/>
    </row>
    <row r="305" ht="15.75" hidden="1" customHeight="1">
      <c r="A305" s="1"/>
      <c r="C305" s="14"/>
      <c r="N305" s="1"/>
    </row>
    <row r="306" ht="15.75" hidden="1" customHeight="1">
      <c r="A306" s="1"/>
      <c r="C306" s="14"/>
      <c r="N306" s="1"/>
    </row>
    <row r="307" ht="15.75" hidden="1" customHeight="1">
      <c r="A307" s="1"/>
      <c r="C307" s="14"/>
      <c r="N307" s="1"/>
    </row>
    <row r="308" ht="15.75" hidden="1" customHeight="1">
      <c r="A308" s="1"/>
      <c r="C308" s="14"/>
      <c r="N308" s="1"/>
    </row>
    <row r="309" ht="15.75" hidden="1" customHeight="1">
      <c r="A309" s="1"/>
      <c r="C309" s="14"/>
      <c r="N309" s="1"/>
    </row>
    <row r="310" ht="15.75" hidden="1" customHeight="1">
      <c r="A310" s="1"/>
      <c r="C310" s="14"/>
      <c r="N310" s="1"/>
    </row>
    <row r="311" ht="15.75" hidden="1" customHeight="1">
      <c r="A311" s="1"/>
      <c r="C311" s="14"/>
      <c r="N311" s="1"/>
    </row>
    <row r="312" ht="15.75" hidden="1" customHeight="1">
      <c r="A312" s="1"/>
      <c r="C312" s="14"/>
      <c r="N312" s="1"/>
    </row>
    <row r="313" ht="15.75" hidden="1" customHeight="1">
      <c r="A313" s="1"/>
      <c r="C313" s="14"/>
      <c r="N313" s="1"/>
    </row>
    <row r="314" ht="15.75" hidden="1" customHeight="1">
      <c r="A314" s="1"/>
      <c r="C314" s="14"/>
      <c r="N314" s="1"/>
    </row>
    <row r="315" ht="15.75" hidden="1" customHeight="1">
      <c r="A315" s="1"/>
      <c r="C315" s="14"/>
      <c r="N315" s="1"/>
    </row>
    <row r="316" ht="15.75" hidden="1" customHeight="1">
      <c r="A316" s="1"/>
      <c r="C316" s="14"/>
      <c r="N316" s="1"/>
    </row>
    <row r="317" ht="15.75" hidden="1" customHeight="1">
      <c r="A317" s="1"/>
      <c r="C317" s="14"/>
      <c r="N317" s="1"/>
    </row>
    <row r="318" ht="15.75" hidden="1" customHeight="1">
      <c r="A318" s="1"/>
      <c r="C318" s="14"/>
      <c r="N318" s="1"/>
    </row>
    <row r="319" ht="15.75" hidden="1" customHeight="1">
      <c r="A319" s="1"/>
      <c r="C319" s="14"/>
      <c r="N319" s="1"/>
    </row>
    <row r="320" ht="15.75" hidden="1" customHeight="1">
      <c r="A320" s="1"/>
      <c r="C320" s="14"/>
      <c r="N320" s="1"/>
    </row>
    <row r="321" ht="15.75" hidden="1" customHeight="1">
      <c r="A321" s="1"/>
      <c r="C321" s="14"/>
      <c r="N321" s="1"/>
    </row>
    <row r="322" ht="15.75" hidden="1" customHeight="1">
      <c r="A322" s="1"/>
      <c r="C322" s="14"/>
      <c r="N322" s="1"/>
    </row>
    <row r="323" ht="15.75" hidden="1" customHeight="1">
      <c r="A323" s="1"/>
      <c r="C323" s="14"/>
      <c r="N323" s="1"/>
    </row>
    <row r="324" ht="15.75" hidden="1" customHeight="1">
      <c r="A324" s="1"/>
      <c r="C324" s="14"/>
      <c r="N324" s="1"/>
    </row>
    <row r="325" ht="15.75" hidden="1" customHeight="1">
      <c r="A325" s="1"/>
      <c r="C325" s="14"/>
      <c r="N325" s="1"/>
    </row>
    <row r="326" ht="15.75" hidden="1" customHeight="1">
      <c r="A326" s="1"/>
      <c r="C326" s="14"/>
      <c r="N326" s="1"/>
    </row>
    <row r="327" ht="15.75" hidden="1" customHeight="1">
      <c r="A327" s="1"/>
      <c r="C327" s="14"/>
      <c r="N327" s="1"/>
    </row>
    <row r="328" ht="15.75" hidden="1" customHeight="1">
      <c r="A328" s="1"/>
      <c r="C328" s="14"/>
      <c r="N328" s="1"/>
    </row>
    <row r="329" ht="15.75" hidden="1" customHeight="1">
      <c r="A329" s="1"/>
      <c r="C329" s="14"/>
      <c r="N329" s="1"/>
    </row>
    <row r="330" ht="15.75" hidden="1" customHeight="1">
      <c r="A330" s="1"/>
      <c r="C330" s="14"/>
      <c r="N330" s="1"/>
    </row>
    <row r="331" ht="15.75" hidden="1" customHeight="1">
      <c r="A331" s="1"/>
      <c r="C331" s="14"/>
      <c r="N331" s="1"/>
    </row>
    <row r="332" ht="15.75" hidden="1" customHeight="1">
      <c r="A332" s="1"/>
      <c r="C332" s="14"/>
      <c r="N332" s="1"/>
    </row>
    <row r="333" ht="15.75" hidden="1" customHeight="1">
      <c r="A333" s="1"/>
      <c r="C333" s="14"/>
      <c r="N333" s="1"/>
    </row>
    <row r="334" ht="15.75" hidden="1" customHeight="1">
      <c r="A334" s="1"/>
      <c r="C334" s="14"/>
      <c r="N334" s="1"/>
    </row>
    <row r="335" ht="15.75" hidden="1" customHeight="1">
      <c r="A335" s="1"/>
      <c r="C335" s="14"/>
      <c r="N335" s="1"/>
    </row>
    <row r="336" ht="15.75" hidden="1" customHeight="1">
      <c r="A336" s="1"/>
      <c r="C336" s="14"/>
      <c r="N336" s="1"/>
    </row>
    <row r="337" ht="15.75" hidden="1" customHeight="1">
      <c r="A337" s="1"/>
      <c r="C337" s="14"/>
      <c r="N337" s="1"/>
    </row>
    <row r="338" ht="15.75" hidden="1" customHeight="1">
      <c r="A338" s="1"/>
      <c r="C338" s="14"/>
      <c r="N338" s="1"/>
    </row>
    <row r="339" ht="15.75" hidden="1" customHeight="1">
      <c r="A339" s="1"/>
      <c r="C339" s="14"/>
      <c r="N339" s="1"/>
    </row>
    <row r="340" ht="15.75" hidden="1" customHeight="1">
      <c r="A340" s="1"/>
      <c r="C340" s="14"/>
      <c r="N340" s="1"/>
    </row>
    <row r="341" ht="15.75" hidden="1" customHeight="1">
      <c r="A341" s="1"/>
      <c r="C341" s="14"/>
      <c r="N341" s="1"/>
    </row>
    <row r="342" ht="15.75" hidden="1" customHeight="1">
      <c r="A342" s="1"/>
      <c r="C342" s="14"/>
      <c r="N342" s="1"/>
    </row>
    <row r="343" ht="15.75" hidden="1" customHeight="1">
      <c r="A343" s="1"/>
      <c r="C343" s="14"/>
      <c r="N343" s="1"/>
    </row>
    <row r="344" ht="15.75" hidden="1" customHeight="1">
      <c r="A344" s="1"/>
      <c r="C344" s="14"/>
      <c r="N344" s="1"/>
    </row>
    <row r="345" ht="15.75" hidden="1" customHeight="1">
      <c r="A345" s="1"/>
      <c r="C345" s="14"/>
      <c r="N345" s="1"/>
    </row>
    <row r="346" ht="15.75" hidden="1" customHeight="1">
      <c r="A346" s="1"/>
      <c r="C346" s="14"/>
      <c r="N346" s="1"/>
    </row>
    <row r="347" ht="15.75" hidden="1" customHeight="1">
      <c r="A347" s="1"/>
      <c r="C347" s="14"/>
      <c r="N347" s="1"/>
    </row>
    <row r="348" ht="15.75" hidden="1" customHeight="1">
      <c r="A348" s="1"/>
      <c r="C348" s="14"/>
      <c r="N348" s="1"/>
    </row>
    <row r="349" ht="15.75" hidden="1" customHeight="1">
      <c r="A349" s="1"/>
      <c r="C349" s="14"/>
      <c r="N349" s="1"/>
    </row>
    <row r="350" ht="15.75" hidden="1" customHeight="1">
      <c r="A350" s="1"/>
      <c r="C350" s="14"/>
      <c r="N350" s="1"/>
    </row>
    <row r="351" ht="15.75" hidden="1" customHeight="1">
      <c r="A351" s="1"/>
      <c r="C351" s="14"/>
      <c r="N351" s="1"/>
    </row>
    <row r="352" ht="15.75" hidden="1" customHeight="1">
      <c r="A352" s="1"/>
      <c r="C352" s="14"/>
      <c r="N352" s="1"/>
    </row>
    <row r="353" ht="15.75" hidden="1" customHeight="1">
      <c r="A353" s="1"/>
      <c r="C353" s="14"/>
      <c r="N353" s="1"/>
    </row>
    <row r="354" ht="15.75" hidden="1" customHeight="1">
      <c r="A354" s="1"/>
      <c r="C354" s="14"/>
      <c r="N354" s="1"/>
    </row>
    <row r="355" ht="15.75" hidden="1" customHeight="1">
      <c r="A355" s="1"/>
      <c r="C355" s="14"/>
      <c r="N355" s="1"/>
    </row>
    <row r="356" ht="15.75" hidden="1" customHeight="1">
      <c r="A356" s="1"/>
      <c r="C356" s="14"/>
      <c r="N356" s="1"/>
    </row>
    <row r="357" ht="15.75" hidden="1" customHeight="1">
      <c r="A357" s="1"/>
      <c r="C357" s="14"/>
      <c r="N357" s="1"/>
    </row>
    <row r="358" ht="15.75" hidden="1" customHeight="1">
      <c r="A358" s="1"/>
      <c r="C358" s="14"/>
      <c r="N358" s="1"/>
    </row>
    <row r="359" ht="15.75" hidden="1" customHeight="1">
      <c r="A359" s="1"/>
      <c r="C359" s="14"/>
      <c r="N359" s="1"/>
    </row>
    <row r="360" ht="15.75" hidden="1" customHeight="1">
      <c r="A360" s="1"/>
      <c r="C360" s="14"/>
      <c r="N360" s="1"/>
    </row>
    <row r="361" ht="15.75" hidden="1" customHeight="1">
      <c r="A361" s="1"/>
      <c r="C361" s="14"/>
      <c r="N361" s="1"/>
    </row>
    <row r="362" ht="15.75" hidden="1" customHeight="1">
      <c r="A362" s="1"/>
      <c r="C362" s="14"/>
      <c r="N362" s="1"/>
    </row>
    <row r="363" ht="15.75" hidden="1" customHeight="1">
      <c r="A363" s="1"/>
      <c r="C363" s="14"/>
      <c r="N363" s="1"/>
    </row>
    <row r="364" ht="15.75" hidden="1" customHeight="1">
      <c r="A364" s="1"/>
      <c r="C364" s="14"/>
      <c r="N364" s="1"/>
    </row>
    <row r="365" ht="15.75" hidden="1" customHeight="1">
      <c r="A365" s="1"/>
      <c r="C365" s="14"/>
      <c r="N365" s="1"/>
    </row>
    <row r="366" ht="15.75" hidden="1" customHeight="1">
      <c r="A366" s="1"/>
      <c r="C366" s="14"/>
      <c r="N366" s="1"/>
    </row>
    <row r="367" ht="15.75" hidden="1" customHeight="1">
      <c r="A367" s="1"/>
      <c r="C367" s="14"/>
      <c r="N367" s="1"/>
    </row>
    <row r="368" ht="15.75" hidden="1" customHeight="1">
      <c r="A368" s="1"/>
      <c r="C368" s="14"/>
      <c r="N368" s="1"/>
    </row>
    <row r="369" ht="15.75" hidden="1" customHeight="1">
      <c r="A369" s="1"/>
      <c r="C369" s="14"/>
      <c r="N369" s="1"/>
    </row>
    <row r="370" ht="15.75" hidden="1" customHeight="1">
      <c r="A370" s="1"/>
      <c r="C370" s="14"/>
      <c r="N370" s="1"/>
    </row>
    <row r="371" ht="15.75" hidden="1" customHeight="1">
      <c r="A371" s="1"/>
      <c r="C371" s="14"/>
      <c r="N371" s="1"/>
    </row>
    <row r="372" ht="15.75" hidden="1" customHeight="1">
      <c r="A372" s="1"/>
      <c r="C372" s="14"/>
      <c r="N372" s="1"/>
    </row>
    <row r="373" ht="15.75" hidden="1" customHeight="1">
      <c r="A373" s="1"/>
      <c r="C373" s="14"/>
      <c r="N373" s="1"/>
    </row>
    <row r="374" ht="15.75" hidden="1" customHeight="1">
      <c r="A374" s="1"/>
      <c r="C374" s="14"/>
      <c r="N374" s="1"/>
    </row>
    <row r="375" ht="15.75" hidden="1" customHeight="1">
      <c r="A375" s="1"/>
      <c r="C375" s="14"/>
      <c r="N375" s="1"/>
    </row>
    <row r="376" ht="15.75" hidden="1" customHeight="1">
      <c r="A376" s="1"/>
      <c r="C376" s="14"/>
      <c r="N376" s="1"/>
    </row>
    <row r="377" ht="15.75" hidden="1" customHeight="1">
      <c r="A377" s="1"/>
      <c r="C377" s="14"/>
      <c r="N377" s="1"/>
    </row>
    <row r="378" ht="15.75" hidden="1" customHeight="1">
      <c r="A378" s="1"/>
      <c r="C378" s="14"/>
      <c r="N378" s="1"/>
    </row>
    <row r="379" ht="15.75" hidden="1" customHeight="1">
      <c r="A379" s="1"/>
      <c r="C379" s="14"/>
      <c r="N379" s="1"/>
    </row>
    <row r="380" ht="15.75" hidden="1" customHeight="1">
      <c r="A380" s="1"/>
      <c r="C380" s="14"/>
      <c r="N380" s="1"/>
    </row>
    <row r="381" ht="15.75" hidden="1" customHeight="1">
      <c r="A381" s="1"/>
      <c r="C381" s="14"/>
      <c r="N381" s="1"/>
    </row>
    <row r="382" ht="15.75" hidden="1" customHeight="1">
      <c r="A382" s="1"/>
      <c r="C382" s="14"/>
      <c r="N382" s="1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7">
    <mergeCell ref="B2:M4"/>
    <mergeCell ref="B5:M7"/>
    <mergeCell ref="B10:M12"/>
    <mergeCell ref="D14:H14"/>
    <mergeCell ref="I14:L14"/>
    <mergeCell ref="D15:H15"/>
    <mergeCell ref="I15:L15"/>
    <mergeCell ref="D16:H16"/>
    <mergeCell ref="I16:L16"/>
    <mergeCell ref="D17:H17"/>
    <mergeCell ref="I17:L17"/>
    <mergeCell ref="D18:H18"/>
    <mergeCell ref="I18:L18"/>
    <mergeCell ref="I19:L19"/>
    <mergeCell ref="D19:H19"/>
    <mergeCell ref="D20:H20"/>
    <mergeCell ref="I20:L20"/>
    <mergeCell ref="D21:H21"/>
    <mergeCell ref="I21:L21"/>
    <mergeCell ref="D22:H22"/>
    <mergeCell ref="I22:L22"/>
    <mergeCell ref="B25:M27"/>
    <mergeCell ref="D29:H29"/>
    <mergeCell ref="I29:L29"/>
    <mergeCell ref="D30:H30"/>
    <mergeCell ref="I30:L30"/>
    <mergeCell ref="D31:H31"/>
    <mergeCell ref="I31:L31"/>
    <mergeCell ref="D32:H32"/>
    <mergeCell ref="I32:L32"/>
    <mergeCell ref="D33:H33"/>
    <mergeCell ref="I33:L33"/>
    <mergeCell ref="B36:M38"/>
    <mergeCell ref="D40:H40"/>
    <mergeCell ref="I40:L40"/>
    <mergeCell ref="D41:H41"/>
    <mergeCell ref="I41:L41"/>
    <mergeCell ref="D42:H42"/>
    <mergeCell ref="I42:L42"/>
    <mergeCell ref="D43:H43"/>
    <mergeCell ref="I43:L43"/>
    <mergeCell ref="I44:L44"/>
    <mergeCell ref="D44:H44"/>
    <mergeCell ref="D45:H45"/>
    <mergeCell ref="I45:L45"/>
    <mergeCell ref="D46:H46"/>
    <mergeCell ref="I46:L46"/>
    <mergeCell ref="D47:H47"/>
    <mergeCell ref="I47:L47"/>
    <mergeCell ref="D48:H48"/>
    <mergeCell ref="I48:L48"/>
    <mergeCell ref="D49:H49"/>
    <mergeCell ref="I49:L49"/>
    <mergeCell ref="B52:M54"/>
    <mergeCell ref="D56:H56"/>
    <mergeCell ref="I56:L56"/>
    <mergeCell ref="D57:H57"/>
    <mergeCell ref="I57:L57"/>
    <mergeCell ref="D58:H58"/>
    <mergeCell ref="I58:L58"/>
    <mergeCell ref="D59:H59"/>
    <mergeCell ref="I59:L59"/>
    <mergeCell ref="I60:L60"/>
    <mergeCell ref="D60:H60"/>
    <mergeCell ref="B63:M65"/>
    <mergeCell ref="D67:H67"/>
    <mergeCell ref="I67:L67"/>
    <mergeCell ref="D68:H68"/>
    <mergeCell ref="I68:L68"/>
    <mergeCell ref="I69:L69"/>
    <mergeCell ref="D69:H69"/>
    <mergeCell ref="D70:H70"/>
    <mergeCell ref="I70:L70"/>
    <mergeCell ref="D71:H71"/>
    <mergeCell ref="I71:L71"/>
    <mergeCell ref="B74:M76"/>
    <mergeCell ref="I78:L78"/>
    <mergeCell ref="D78:H78"/>
    <mergeCell ref="D79:H79"/>
    <mergeCell ref="I79:L79"/>
    <mergeCell ref="D80:H80"/>
    <mergeCell ref="I80:L80"/>
    <mergeCell ref="D81:H81"/>
    <mergeCell ref="I81:L81"/>
    <mergeCell ref="D82:H82"/>
    <mergeCell ref="I82:L82"/>
    <mergeCell ref="B85:M87"/>
    <mergeCell ref="D89:H89"/>
    <mergeCell ref="I89:L89"/>
    <mergeCell ref="D90:H90"/>
    <mergeCell ref="I90:L90"/>
    <mergeCell ref="D91:H91"/>
    <mergeCell ref="I91:L91"/>
    <mergeCell ref="D92:H92"/>
    <mergeCell ref="I92:L92"/>
    <mergeCell ref="D93:H93"/>
    <mergeCell ref="I93:L93"/>
    <mergeCell ref="B96:M98"/>
    <mergeCell ref="D137:H137"/>
    <mergeCell ref="B140:M142"/>
    <mergeCell ref="D144:H144"/>
    <mergeCell ref="I144:L144"/>
    <mergeCell ref="D145:H145"/>
    <mergeCell ref="I145:L145"/>
    <mergeCell ref="I146:L146"/>
    <mergeCell ref="D146:H146"/>
    <mergeCell ref="D147:H147"/>
    <mergeCell ref="I147:L147"/>
    <mergeCell ref="D148:H148"/>
    <mergeCell ref="I148:L148"/>
    <mergeCell ref="B151:M153"/>
    <mergeCell ref="I155:L155"/>
    <mergeCell ref="D159:H159"/>
    <mergeCell ref="I159:L159"/>
    <mergeCell ref="B162:M164"/>
    <mergeCell ref="D166:H166"/>
    <mergeCell ref="I166:L166"/>
    <mergeCell ref="D167:H167"/>
    <mergeCell ref="I167:L167"/>
    <mergeCell ref="D168:H168"/>
    <mergeCell ref="I168:L168"/>
    <mergeCell ref="D169:H169"/>
    <mergeCell ref="I169:L169"/>
    <mergeCell ref="D170:H170"/>
    <mergeCell ref="I170:L170"/>
    <mergeCell ref="B173:M175"/>
    <mergeCell ref="D180:H180"/>
    <mergeCell ref="D181:H181"/>
    <mergeCell ref="I181:L181"/>
    <mergeCell ref="D182:H182"/>
    <mergeCell ref="I182:L182"/>
    <mergeCell ref="D177:H177"/>
    <mergeCell ref="I177:L177"/>
    <mergeCell ref="D178:H178"/>
    <mergeCell ref="I178:L178"/>
    <mergeCell ref="D179:H179"/>
    <mergeCell ref="I179:L179"/>
    <mergeCell ref="I180:L180"/>
    <mergeCell ref="D100:H100"/>
    <mergeCell ref="I100:L100"/>
    <mergeCell ref="D101:H101"/>
    <mergeCell ref="I101:L101"/>
    <mergeCell ref="D102:H102"/>
    <mergeCell ref="I102:L102"/>
    <mergeCell ref="I103:L103"/>
    <mergeCell ref="D103:H103"/>
    <mergeCell ref="D104:H104"/>
    <mergeCell ref="I104:L104"/>
    <mergeCell ref="B107:M109"/>
    <mergeCell ref="D111:H111"/>
    <mergeCell ref="I111:L111"/>
    <mergeCell ref="I112:L112"/>
    <mergeCell ref="D112:H112"/>
    <mergeCell ref="D113:H113"/>
    <mergeCell ref="I113:L113"/>
    <mergeCell ref="D114:H114"/>
    <mergeCell ref="I114:L114"/>
    <mergeCell ref="D115:H115"/>
    <mergeCell ref="I115:L115"/>
    <mergeCell ref="B118:M120"/>
    <mergeCell ref="D122:H122"/>
    <mergeCell ref="I122:L122"/>
    <mergeCell ref="D123:H123"/>
    <mergeCell ref="I123:L123"/>
    <mergeCell ref="D124:H124"/>
    <mergeCell ref="I124:L124"/>
    <mergeCell ref="D125:H125"/>
    <mergeCell ref="I125:L125"/>
    <mergeCell ref="D126:H126"/>
    <mergeCell ref="I126:L126"/>
    <mergeCell ref="B129:M131"/>
    <mergeCell ref="D133:H133"/>
    <mergeCell ref="I133:L133"/>
    <mergeCell ref="D134:H134"/>
    <mergeCell ref="I134:L134"/>
    <mergeCell ref="D135:H135"/>
    <mergeCell ref="I135:L135"/>
    <mergeCell ref="D136:H136"/>
    <mergeCell ref="I136:L136"/>
    <mergeCell ref="I137:L137"/>
    <mergeCell ref="D155:H155"/>
    <mergeCell ref="D156:H156"/>
    <mergeCell ref="I156:L156"/>
    <mergeCell ref="D157:H157"/>
    <mergeCell ref="I157:L157"/>
    <mergeCell ref="D158:H158"/>
    <mergeCell ref="I158:L158"/>
  </mergeCells>
  <conditionalFormatting sqref="M15:M22 M30:M33 M41:M49 M57:M60 M68:M71 M79:M82 M90:M93 M101:M104 M112:M115 M123:M126 M134:M137 M145:M148 M156:M159 M167:M170 M178:M182">
    <cfRule type="containsText" dxfId="0" priority="1" operator="containsText" text="Público Criado">
      <formula>NOT(ISERROR(SEARCH(("Público Criado"),(M15))))</formula>
    </cfRule>
  </conditionalFormatting>
  <conditionalFormatting sqref="M15:M22 M30:M33 M41:M49 M57:M60 M68:M71 M79:M82 M90:M93 M101:M104 M112:M115 M123:M126 M134:M137 M145:M148 M156:M159 M167:M170 M178:M182">
    <cfRule type="containsText" dxfId="1" priority="2" operator="containsText" text="Público Pendente">
      <formula>NOT(ISERROR(SEARCH(("Público Pendente"),(M15))))</formula>
    </cfRule>
  </conditionalFormatting>
  <conditionalFormatting sqref="M1 M8:M9 M13:M24 M28:M35 M39:M51 M55:M62 M66:M73 M77:M84 M88:M95 M99:M106 M110:M117 M121:M128 M132:M139 M143:M150 M154:M161 M165:M172 M176:M1000">
    <cfRule type="containsText" dxfId="1" priority="3" operator="containsText" text="Atrasado">
      <formula>NOT(ISERROR(SEARCH(("Atrasado"),(M1))))</formula>
    </cfRule>
  </conditionalFormatting>
  <conditionalFormatting sqref="M1 M8:M9 M13:M24 M28:M35 M39:M51 M55:M62 M66:M73 M77:M84 M88:M95 M99:M106 M110:M117 M121:M128 M132:M139 M143:M150 M154:M161 M165:M172 M176:M1000">
    <cfRule type="containsText" dxfId="2" priority="4" operator="containsText" text="Faltam">
      <formula>NOT(ISERROR(SEARCH(("Faltam"),(M1))))</formula>
    </cfRule>
  </conditionalFormatting>
  <conditionalFormatting sqref="M1 M8:M9 M13:M24 M28:M35 M39:M51 M55:M62 M66:M73 M77:M84 M88:M95 M99:M106 M110:M117 M121:M128 M132:M139 M143:M150 M154:M161 M165:M172 M176:M1000">
    <cfRule type="containsText" dxfId="2" priority="5" operator="containsText" text="É pra">
      <formula>NOT(ISERROR(SEARCH(("É pra"),(M1))))</formula>
    </cfRule>
  </conditionalFormatting>
  <conditionalFormatting sqref="M1 M8:M9 M13:M24 M28:M35 M39:M51 M55:M62 M66:M73 M77:M84 M88:M95 M99:M106 M110:M117 M121:M128 M132:M139 M143:M150 M154:M161 M165:M172 M176:M1000">
    <cfRule type="containsText" dxfId="0" priority="6" operator="containsText" text="Atividade Concluída">
      <formula>NOT(ISERROR(SEARCH(("Atividade Concluída"),(M1))))</formula>
    </cfRule>
  </conditionalFormatting>
  <conditionalFormatting sqref="M1 M8:M9 M13:M24 M28:M35 M39:M51 M55:M62 M66:M73 M77:M84 M88:M95 M99:M106 M110:M117 M121:M128 M132:M139 M143:M150 M154:M161 M165:M172 M176:M1000">
    <cfRule type="containsText" dxfId="3" priority="7" operator="containsText" text="Pendente">
      <formula>NOT(ISERROR(SEARCH(("Pendente"),(M1))))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8" width="9.38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411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418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1.0</v>
      </c>
      <c r="D15" s="23" t="s">
        <v>426</v>
      </c>
      <c r="E15" s="18"/>
      <c r="F15" s="18"/>
      <c r="G15" s="18"/>
      <c r="H15" s="19"/>
      <c r="I15" s="24" t="s">
        <v>428</v>
      </c>
      <c r="J15" s="18"/>
      <c r="K15" s="18"/>
      <c r="L15" s="19"/>
      <c r="M15" s="22" t="str">
        <f t="shared" ref="M15:M19" si="1">IF(B15=TRUE,"Público Criado","Público Pendente")</f>
        <v>Público Pendente</v>
      </c>
      <c r="N15" s="1"/>
    </row>
    <row r="16" ht="15.75" customHeight="1">
      <c r="A16" s="1"/>
      <c r="B16" s="21" t="b">
        <v>0</v>
      </c>
      <c r="C16" s="22">
        <v>2.0</v>
      </c>
      <c r="D16" s="23" t="s">
        <v>435</v>
      </c>
      <c r="E16" s="18"/>
      <c r="F16" s="18"/>
      <c r="G16" s="18"/>
      <c r="H16" s="19"/>
      <c r="I16" s="24" t="s">
        <v>438</v>
      </c>
      <c r="J16" s="18"/>
      <c r="K16" s="18"/>
      <c r="L16" s="19"/>
      <c r="M16" s="22" t="str">
        <f t="shared" si="1"/>
        <v>Público Pendente</v>
      </c>
      <c r="N16" s="1"/>
    </row>
    <row r="17" ht="15.75" customHeight="1">
      <c r="A17" s="1"/>
      <c r="B17" s="21" t="b">
        <v>0</v>
      </c>
      <c r="C17" s="22">
        <v>3.0</v>
      </c>
      <c r="D17" s="23" t="s">
        <v>443</v>
      </c>
      <c r="E17" s="18"/>
      <c r="F17" s="18"/>
      <c r="G17" s="18"/>
      <c r="H17" s="19"/>
      <c r="I17" s="24" t="s">
        <v>446</v>
      </c>
      <c r="J17" s="18"/>
      <c r="K17" s="18"/>
      <c r="L17" s="19"/>
      <c r="M17" s="22" t="str">
        <f t="shared" si="1"/>
        <v>Público Pendente</v>
      </c>
      <c r="N17" s="1"/>
    </row>
    <row r="18" ht="15.75" customHeight="1">
      <c r="A18" s="1"/>
      <c r="B18" s="21" t="b">
        <v>0</v>
      </c>
      <c r="C18" s="22">
        <v>4.0</v>
      </c>
      <c r="D18" s="23" t="s">
        <v>451</v>
      </c>
      <c r="E18" s="18"/>
      <c r="F18" s="18"/>
      <c r="G18" s="18"/>
      <c r="H18" s="19"/>
      <c r="I18" s="24" t="s">
        <v>455</v>
      </c>
      <c r="J18" s="18"/>
      <c r="K18" s="18"/>
      <c r="L18" s="19"/>
      <c r="M18" s="22" t="str">
        <f t="shared" si="1"/>
        <v>Público Pendente</v>
      </c>
      <c r="N18" s="1"/>
    </row>
    <row r="19" ht="15.75" customHeight="1">
      <c r="A19" s="1"/>
      <c r="B19" s="21" t="b">
        <v>0</v>
      </c>
      <c r="C19" s="22">
        <v>5.0</v>
      </c>
      <c r="D19" s="23" t="s">
        <v>466</v>
      </c>
      <c r="E19" s="18"/>
      <c r="F19" s="18"/>
      <c r="G19" s="18"/>
      <c r="H19" s="19"/>
      <c r="I19" s="24" t="s">
        <v>506</v>
      </c>
      <c r="J19" s="18"/>
      <c r="K19" s="18"/>
      <c r="L19" s="19"/>
      <c r="M19" s="22" t="str">
        <f t="shared" si="1"/>
        <v>Público Pendente</v>
      </c>
      <c r="N19" s="1"/>
    </row>
    <row r="20" ht="15.75" customHeight="1">
      <c r="A20" s="1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"/>
    </row>
    <row r="21" ht="15.75" customHeight="1">
      <c r="A21" s="1"/>
      <c r="B21" s="21" t="b">
        <v>0</v>
      </c>
      <c r="C21" s="22">
        <v>1.0</v>
      </c>
      <c r="D21" s="23" t="s">
        <v>554</v>
      </c>
      <c r="E21" s="18"/>
      <c r="F21" s="18"/>
      <c r="G21" s="18"/>
      <c r="H21" s="19"/>
      <c r="I21" s="24" t="s">
        <v>555</v>
      </c>
      <c r="J21" s="18"/>
      <c r="K21" s="18"/>
      <c r="L21" s="19"/>
      <c r="M21" s="22" t="str">
        <f t="shared" ref="M21:M25" si="2">IF(B21=TRUE,"Público Criado","Público Pendente")</f>
        <v>Público Pendente</v>
      </c>
      <c r="N21" s="1"/>
    </row>
    <row r="22" ht="15.75" customHeight="1">
      <c r="A22" s="1"/>
      <c r="B22" s="21" t="b">
        <v>0</v>
      </c>
      <c r="C22" s="22">
        <v>2.0</v>
      </c>
      <c r="D22" s="23" t="s">
        <v>558</v>
      </c>
      <c r="E22" s="18"/>
      <c r="F22" s="18"/>
      <c r="G22" s="18"/>
      <c r="H22" s="19"/>
      <c r="I22" s="24" t="s">
        <v>559</v>
      </c>
      <c r="J22" s="18"/>
      <c r="K22" s="18"/>
      <c r="L22" s="19"/>
      <c r="M22" s="22" t="str">
        <f t="shared" si="2"/>
        <v>Público Pendente</v>
      </c>
      <c r="N22" s="1"/>
    </row>
    <row r="23" ht="15.75" customHeight="1">
      <c r="A23" s="1"/>
      <c r="B23" s="21" t="b">
        <v>0</v>
      </c>
      <c r="C23" s="22">
        <v>3.0</v>
      </c>
      <c r="D23" s="23" t="s">
        <v>561</v>
      </c>
      <c r="E23" s="18"/>
      <c r="F23" s="18"/>
      <c r="G23" s="18"/>
      <c r="H23" s="19"/>
      <c r="I23" s="24" t="s">
        <v>563</v>
      </c>
      <c r="J23" s="18"/>
      <c r="K23" s="18"/>
      <c r="L23" s="19"/>
      <c r="M23" s="22" t="str">
        <f t="shared" si="2"/>
        <v>Público Pendente</v>
      </c>
      <c r="N23" s="1"/>
    </row>
    <row r="24" ht="15.75" customHeight="1">
      <c r="A24" s="1"/>
      <c r="B24" s="21" t="b">
        <v>0</v>
      </c>
      <c r="C24" s="22">
        <v>4.0</v>
      </c>
      <c r="D24" s="23" t="s">
        <v>566</v>
      </c>
      <c r="E24" s="18"/>
      <c r="F24" s="18"/>
      <c r="G24" s="18"/>
      <c r="H24" s="19"/>
      <c r="I24" s="24" t="s">
        <v>567</v>
      </c>
      <c r="J24" s="18"/>
      <c r="K24" s="18"/>
      <c r="L24" s="19"/>
      <c r="M24" s="22" t="str">
        <f t="shared" si="2"/>
        <v>Público Pendente</v>
      </c>
      <c r="N24" s="1"/>
    </row>
    <row r="25" ht="15.75" customHeight="1">
      <c r="A25" s="1"/>
      <c r="B25" s="21" t="b">
        <v>0</v>
      </c>
      <c r="C25" s="22">
        <v>5.0</v>
      </c>
      <c r="D25" s="23" t="s">
        <v>569</v>
      </c>
      <c r="E25" s="18"/>
      <c r="F25" s="18"/>
      <c r="G25" s="18"/>
      <c r="H25" s="19"/>
      <c r="I25" s="24" t="s">
        <v>571</v>
      </c>
      <c r="J25" s="18"/>
      <c r="K25" s="18"/>
      <c r="L25" s="19"/>
      <c r="M25" s="22" t="str">
        <f t="shared" si="2"/>
        <v>Público Pendente</v>
      </c>
      <c r="N25" s="1"/>
    </row>
    <row r="26" ht="15.75" customHeight="1">
      <c r="A26" s="1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N26" s="1"/>
    </row>
    <row r="27" ht="15.75" customHeight="1">
      <c r="A27" s="1"/>
      <c r="B27" s="21" t="b">
        <v>0</v>
      </c>
      <c r="C27" s="22">
        <v>1.0</v>
      </c>
      <c r="D27" s="23" t="s">
        <v>575</v>
      </c>
      <c r="E27" s="18"/>
      <c r="F27" s="18"/>
      <c r="G27" s="18"/>
      <c r="H27" s="19"/>
      <c r="I27" s="24" t="s">
        <v>576</v>
      </c>
      <c r="J27" s="18"/>
      <c r="K27" s="18"/>
      <c r="L27" s="19"/>
      <c r="M27" s="22" t="str">
        <f t="shared" ref="M27:M31" si="3">IF(B27=TRUE,"Público Criado","Público Pendente")</f>
        <v>Público Pendente</v>
      </c>
      <c r="N27" s="1"/>
    </row>
    <row r="28" ht="15.75" customHeight="1">
      <c r="A28" s="1"/>
      <c r="B28" s="21" t="b">
        <v>0</v>
      </c>
      <c r="C28" s="22">
        <v>2.0</v>
      </c>
      <c r="D28" s="23" t="s">
        <v>578</v>
      </c>
      <c r="E28" s="18"/>
      <c r="F28" s="18"/>
      <c r="G28" s="18"/>
      <c r="H28" s="19"/>
      <c r="I28" s="24" t="s">
        <v>579</v>
      </c>
      <c r="J28" s="18"/>
      <c r="K28" s="18"/>
      <c r="L28" s="19"/>
      <c r="M28" s="22" t="str">
        <f t="shared" si="3"/>
        <v>Público Pendente</v>
      </c>
      <c r="N28" s="1"/>
    </row>
    <row r="29" ht="15.75" customHeight="1">
      <c r="A29" s="1"/>
      <c r="B29" s="21" t="b">
        <v>0</v>
      </c>
      <c r="C29" s="22">
        <v>3.0</v>
      </c>
      <c r="D29" s="23" t="s">
        <v>582</v>
      </c>
      <c r="E29" s="18"/>
      <c r="F29" s="18"/>
      <c r="G29" s="18"/>
      <c r="H29" s="19"/>
      <c r="I29" s="24" t="s">
        <v>584</v>
      </c>
      <c r="J29" s="18"/>
      <c r="K29" s="18"/>
      <c r="L29" s="19"/>
      <c r="M29" s="22" t="str">
        <f t="shared" si="3"/>
        <v>Público Pendente</v>
      </c>
      <c r="N29" s="1"/>
    </row>
    <row r="30" ht="15.75" customHeight="1">
      <c r="A30" s="1"/>
      <c r="B30" s="21" t="b">
        <v>0</v>
      </c>
      <c r="C30" s="22">
        <v>4.0</v>
      </c>
      <c r="D30" s="23" t="s">
        <v>586</v>
      </c>
      <c r="E30" s="18"/>
      <c r="F30" s="18"/>
      <c r="G30" s="18"/>
      <c r="H30" s="19"/>
      <c r="I30" s="24" t="s">
        <v>589</v>
      </c>
      <c r="J30" s="18"/>
      <c r="K30" s="18"/>
      <c r="L30" s="19"/>
      <c r="M30" s="22" t="str">
        <f t="shared" si="3"/>
        <v>Público Pendente</v>
      </c>
      <c r="N30" s="1"/>
    </row>
    <row r="31" ht="15.75" customHeight="1">
      <c r="A31" s="1"/>
      <c r="B31" s="21" t="b">
        <v>0</v>
      </c>
      <c r="C31" s="22">
        <v>5.0</v>
      </c>
      <c r="D31" s="23" t="s">
        <v>591</v>
      </c>
      <c r="E31" s="18"/>
      <c r="F31" s="18"/>
      <c r="G31" s="18"/>
      <c r="H31" s="19"/>
      <c r="I31" s="24" t="s">
        <v>594</v>
      </c>
      <c r="J31" s="18"/>
      <c r="K31" s="18"/>
      <c r="L31" s="19"/>
      <c r="M31" s="22" t="str">
        <f t="shared" si="3"/>
        <v>Público Pendente</v>
      </c>
      <c r="N31" s="1"/>
    </row>
    <row r="32" ht="15.75" customHeight="1">
      <c r="A32" s="1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1"/>
    </row>
    <row r="33" ht="15.75" customHeight="1">
      <c r="A33" s="1"/>
      <c r="B33" s="21" t="b">
        <v>0</v>
      </c>
      <c r="C33" s="22">
        <v>1.0</v>
      </c>
      <c r="D33" s="23" t="s">
        <v>598</v>
      </c>
      <c r="E33" s="18"/>
      <c r="F33" s="18"/>
      <c r="G33" s="18"/>
      <c r="H33" s="19"/>
      <c r="I33" s="24" t="s">
        <v>599</v>
      </c>
      <c r="J33" s="18"/>
      <c r="K33" s="18"/>
      <c r="L33" s="19"/>
      <c r="M33" s="22" t="str">
        <f t="shared" ref="M33:M37" si="4">IF(B33=TRUE,"Público Criado","Público Pendente")</f>
        <v>Público Pendente</v>
      </c>
      <c r="N33" s="1"/>
    </row>
    <row r="34" ht="15.75" customHeight="1">
      <c r="A34" s="1"/>
      <c r="B34" s="21" t="b">
        <v>0</v>
      </c>
      <c r="C34" s="22">
        <v>2.0</v>
      </c>
      <c r="D34" s="23" t="s">
        <v>602</v>
      </c>
      <c r="E34" s="18"/>
      <c r="F34" s="18"/>
      <c r="G34" s="18"/>
      <c r="H34" s="19"/>
      <c r="I34" s="24" t="s">
        <v>603</v>
      </c>
      <c r="J34" s="18"/>
      <c r="K34" s="18"/>
      <c r="L34" s="19"/>
      <c r="M34" s="22" t="str">
        <f t="shared" si="4"/>
        <v>Público Pendente</v>
      </c>
      <c r="N34" s="1"/>
    </row>
    <row r="35" ht="15.75" customHeight="1">
      <c r="A35" s="1"/>
      <c r="B35" s="21" t="b">
        <v>0</v>
      </c>
      <c r="C35" s="22">
        <v>3.0</v>
      </c>
      <c r="D35" s="23" t="s">
        <v>606</v>
      </c>
      <c r="E35" s="18"/>
      <c r="F35" s="18"/>
      <c r="G35" s="18"/>
      <c r="H35" s="19"/>
      <c r="I35" s="24" t="s">
        <v>608</v>
      </c>
      <c r="J35" s="18"/>
      <c r="K35" s="18"/>
      <c r="L35" s="19"/>
      <c r="M35" s="22" t="str">
        <f t="shared" si="4"/>
        <v>Público Pendente</v>
      </c>
      <c r="N35" s="1"/>
    </row>
    <row r="36" ht="15.75" customHeight="1">
      <c r="A36" s="1"/>
      <c r="B36" s="21" t="b">
        <v>0</v>
      </c>
      <c r="C36" s="22">
        <v>4.0</v>
      </c>
      <c r="D36" s="23" t="s">
        <v>610</v>
      </c>
      <c r="E36" s="18"/>
      <c r="F36" s="18"/>
      <c r="G36" s="18"/>
      <c r="H36" s="19"/>
      <c r="I36" s="24" t="s">
        <v>612</v>
      </c>
      <c r="J36" s="18"/>
      <c r="K36" s="18"/>
      <c r="L36" s="19"/>
      <c r="M36" s="22" t="str">
        <f t="shared" si="4"/>
        <v>Público Pendente</v>
      </c>
      <c r="N36" s="1"/>
    </row>
    <row r="37" ht="15.75" customHeight="1">
      <c r="A37" s="1"/>
      <c r="B37" s="21" t="b">
        <v>0</v>
      </c>
      <c r="C37" s="22">
        <v>5.0</v>
      </c>
      <c r="D37" s="23" t="s">
        <v>614</v>
      </c>
      <c r="E37" s="18"/>
      <c r="F37" s="18"/>
      <c r="G37" s="18"/>
      <c r="H37" s="19"/>
      <c r="I37" s="24" t="s">
        <v>616</v>
      </c>
      <c r="J37" s="18"/>
      <c r="K37" s="18"/>
      <c r="L37" s="19"/>
      <c r="M37" s="22" t="str">
        <f t="shared" si="4"/>
        <v>Público Pendente</v>
      </c>
      <c r="N37" s="1"/>
    </row>
    <row r="38" ht="15.75" customHeight="1">
      <c r="A38" s="1"/>
      <c r="C38" s="14"/>
      <c r="N38" s="1"/>
    </row>
    <row r="39" ht="15.75" customHeight="1">
      <c r="A39" s="1"/>
      <c r="C39" s="14"/>
      <c r="N39" s="1"/>
    </row>
    <row r="40" ht="15.75" customHeight="1">
      <c r="A40" s="1"/>
      <c r="B40" s="15" t="s">
        <v>619</v>
      </c>
      <c r="N40" s="1"/>
    </row>
    <row r="41" ht="15.75" customHeight="1">
      <c r="A41" s="1"/>
      <c r="N41" s="1"/>
    </row>
    <row r="42" ht="15.75" customHeight="1">
      <c r="A42" s="1"/>
      <c r="N42" s="1"/>
    </row>
    <row r="43" ht="15.75" customHeight="1">
      <c r="A43" s="1"/>
      <c r="B43" s="60"/>
      <c r="C43" s="14"/>
      <c r="N43" s="1"/>
    </row>
    <row r="44" ht="15.75" customHeight="1">
      <c r="A44" s="1"/>
      <c r="B44" s="16"/>
      <c r="C44" s="16" t="s">
        <v>4</v>
      </c>
      <c r="D44" s="17" t="s">
        <v>5</v>
      </c>
      <c r="E44" s="18"/>
      <c r="F44" s="18"/>
      <c r="G44" s="18"/>
      <c r="H44" s="19"/>
      <c r="I44" s="20" t="s">
        <v>6</v>
      </c>
      <c r="J44" s="18"/>
      <c r="K44" s="18"/>
      <c r="L44" s="19"/>
      <c r="M44" s="16" t="s">
        <v>7</v>
      </c>
      <c r="N44" s="1"/>
    </row>
    <row r="45" ht="15.75" customHeight="1">
      <c r="A45" s="1"/>
      <c r="B45" s="21" t="b">
        <v>0</v>
      </c>
      <c r="C45" s="22">
        <v>1.0</v>
      </c>
      <c r="D45" s="23" t="s">
        <v>622</v>
      </c>
      <c r="E45" s="18"/>
      <c r="F45" s="18"/>
      <c r="G45" s="18"/>
      <c r="H45" s="19"/>
      <c r="I45" s="24" t="s">
        <v>428</v>
      </c>
      <c r="J45" s="18"/>
      <c r="K45" s="18"/>
      <c r="L45" s="19"/>
      <c r="M45" s="22" t="str">
        <f t="shared" ref="M45:M49" si="5">IF(B45=TRUE,"Público Criado","Público Pendente")</f>
        <v>Público Pendente</v>
      </c>
      <c r="N45" s="1"/>
    </row>
    <row r="46" ht="15.75" customHeight="1">
      <c r="A46" s="1"/>
      <c r="B46" s="21" t="b">
        <v>0</v>
      </c>
      <c r="C46" s="22">
        <v>2.0</v>
      </c>
      <c r="D46" s="23" t="s">
        <v>624</v>
      </c>
      <c r="E46" s="18"/>
      <c r="F46" s="18"/>
      <c r="G46" s="18"/>
      <c r="H46" s="19"/>
      <c r="I46" s="24" t="s">
        <v>438</v>
      </c>
      <c r="J46" s="18"/>
      <c r="K46" s="18"/>
      <c r="L46" s="19"/>
      <c r="M46" s="22" t="str">
        <f t="shared" si="5"/>
        <v>Público Pendente</v>
      </c>
      <c r="N46" s="1"/>
    </row>
    <row r="47" ht="15.75" customHeight="1">
      <c r="A47" s="1"/>
      <c r="B47" s="21" t="b">
        <v>0</v>
      </c>
      <c r="C47" s="22">
        <v>3.0</v>
      </c>
      <c r="D47" s="23" t="s">
        <v>626</v>
      </c>
      <c r="E47" s="18"/>
      <c r="F47" s="18"/>
      <c r="G47" s="18"/>
      <c r="H47" s="19"/>
      <c r="I47" s="24" t="s">
        <v>446</v>
      </c>
      <c r="J47" s="18"/>
      <c r="K47" s="18"/>
      <c r="L47" s="19"/>
      <c r="M47" s="22" t="str">
        <f t="shared" si="5"/>
        <v>Público Pendente</v>
      </c>
      <c r="N47" s="1"/>
    </row>
    <row r="48" ht="15.75" customHeight="1">
      <c r="A48" s="1"/>
      <c r="B48" s="21" t="b">
        <v>0</v>
      </c>
      <c r="C48" s="22">
        <v>4.0</v>
      </c>
      <c r="D48" s="23" t="s">
        <v>631</v>
      </c>
      <c r="E48" s="18"/>
      <c r="F48" s="18"/>
      <c r="G48" s="18"/>
      <c r="H48" s="19"/>
      <c r="I48" s="24" t="s">
        <v>455</v>
      </c>
      <c r="J48" s="18"/>
      <c r="K48" s="18"/>
      <c r="L48" s="19"/>
      <c r="M48" s="22" t="str">
        <f t="shared" si="5"/>
        <v>Público Pendente</v>
      </c>
      <c r="N48" s="1"/>
    </row>
    <row r="49" ht="15.75" customHeight="1">
      <c r="A49" s="1"/>
      <c r="B49" s="21" t="b">
        <v>0</v>
      </c>
      <c r="C49" s="22">
        <v>5.0</v>
      </c>
      <c r="D49" s="23" t="s">
        <v>634</v>
      </c>
      <c r="E49" s="18"/>
      <c r="F49" s="18"/>
      <c r="G49" s="18"/>
      <c r="H49" s="19"/>
      <c r="I49" s="24" t="s">
        <v>506</v>
      </c>
      <c r="J49" s="18"/>
      <c r="K49" s="18"/>
      <c r="L49" s="19"/>
      <c r="M49" s="22" t="str">
        <f t="shared" si="5"/>
        <v>Público Pendente</v>
      </c>
      <c r="N49" s="1"/>
    </row>
    <row r="50" ht="15.75" customHeight="1">
      <c r="A50" s="1"/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1"/>
    </row>
    <row r="51" ht="15.75" customHeight="1">
      <c r="A51" s="1"/>
      <c r="B51" s="21" t="b">
        <v>0</v>
      </c>
      <c r="C51" s="22">
        <v>1.0</v>
      </c>
      <c r="D51" s="23" t="s">
        <v>636</v>
      </c>
      <c r="E51" s="18"/>
      <c r="F51" s="18"/>
      <c r="G51" s="18"/>
      <c r="H51" s="19"/>
      <c r="I51" s="24" t="s">
        <v>555</v>
      </c>
      <c r="J51" s="18"/>
      <c r="K51" s="18"/>
      <c r="L51" s="19"/>
      <c r="M51" s="22" t="str">
        <f t="shared" ref="M51:M55" si="6">IF(B51=TRUE,"Público Criado","Público Pendente")</f>
        <v>Público Pendente</v>
      </c>
      <c r="N51" s="1"/>
    </row>
    <row r="52" ht="15.75" customHeight="1">
      <c r="A52" s="1"/>
      <c r="B52" s="21" t="b">
        <v>0</v>
      </c>
      <c r="C52" s="22">
        <v>2.0</v>
      </c>
      <c r="D52" s="23" t="s">
        <v>640</v>
      </c>
      <c r="E52" s="18"/>
      <c r="F52" s="18"/>
      <c r="G52" s="18"/>
      <c r="H52" s="19"/>
      <c r="I52" s="24" t="s">
        <v>559</v>
      </c>
      <c r="J52" s="18"/>
      <c r="K52" s="18"/>
      <c r="L52" s="19"/>
      <c r="M52" s="22" t="str">
        <f t="shared" si="6"/>
        <v>Público Pendente</v>
      </c>
      <c r="N52" s="1"/>
    </row>
    <row r="53" ht="15.75" customHeight="1">
      <c r="A53" s="1"/>
      <c r="B53" s="21" t="b">
        <v>0</v>
      </c>
      <c r="C53" s="22">
        <v>3.0</v>
      </c>
      <c r="D53" s="23" t="s">
        <v>641</v>
      </c>
      <c r="E53" s="18"/>
      <c r="F53" s="18"/>
      <c r="G53" s="18"/>
      <c r="H53" s="19"/>
      <c r="I53" s="24" t="s">
        <v>563</v>
      </c>
      <c r="J53" s="18"/>
      <c r="K53" s="18"/>
      <c r="L53" s="19"/>
      <c r="M53" s="22" t="str">
        <f t="shared" si="6"/>
        <v>Público Pendente</v>
      </c>
      <c r="N53" s="1"/>
    </row>
    <row r="54" ht="15.75" customHeight="1">
      <c r="A54" s="1"/>
      <c r="B54" s="21" t="b">
        <v>0</v>
      </c>
      <c r="C54" s="22">
        <v>4.0</v>
      </c>
      <c r="D54" s="23" t="s">
        <v>645</v>
      </c>
      <c r="E54" s="18"/>
      <c r="F54" s="18"/>
      <c r="G54" s="18"/>
      <c r="H54" s="19"/>
      <c r="I54" s="24" t="s">
        <v>567</v>
      </c>
      <c r="J54" s="18"/>
      <c r="K54" s="18"/>
      <c r="L54" s="19"/>
      <c r="M54" s="22" t="str">
        <f t="shared" si="6"/>
        <v>Público Pendente</v>
      </c>
      <c r="N54" s="1"/>
    </row>
    <row r="55" ht="15.75" customHeight="1">
      <c r="A55" s="1"/>
      <c r="B55" s="21" t="b">
        <v>0</v>
      </c>
      <c r="C55" s="22">
        <v>5.0</v>
      </c>
      <c r="D55" s="23" t="s">
        <v>647</v>
      </c>
      <c r="E55" s="18"/>
      <c r="F55" s="18"/>
      <c r="G55" s="18"/>
      <c r="H55" s="19"/>
      <c r="I55" s="24" t="s">
        <v>571</v>
      </c>
      <c r="J55" s="18"/>
      <c r="K55" s="18"/>
      <c r="L55" s="19"/>
      <c r="M55" s="22" t="str">
        <f t="shared" si="6"/>
        <v>Público Pendente</v>
      </c>
      <c r="N55" s="1"/>
    </row>
    <row r="56" ht="15.75" customHeight="1">
      <c r="A56" s="1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1"/>
    </row>
    <row r="57" ht="15.75" customHeight="1">
      <c r="A57" s="1"/>
      <c r="B57" s="21" t="b">
        <v>0</v>
      </c>
      <c r="C57" s="22">
        <v>1.0</v>
      </c>
      <c r="D57" s="23" t="s">
        <v>650</v>
      </c>
      <c r="E57" s="18"/>
      <c r="F57" s="18"/>
      <c r="G57" s="18"/>
      <c r="H57" s="19"/>
      <c r="I57" s="24" t="s">
        <v>576</v>
      </c>
      <c r="J57" s="18"/>
      <c r="K57" s="18"/>
      <c r="L57" s="19"/>
      <c r="M57" s="22" t="str">
        <f t="shared" ref="M57:M61" si="7">IF(B57=TRUE,"Público Criado","Público Pendente")</f>
        <v>Público Pendente</v>
      </c>
      <c r="N57" s="1"/>
    </row>
    <row r="58" ht="15.75" customHeight="1">
      <c r="A58" s="1"/>
      <c r="B58" s="21" t="b">
        <v>0</v>
      </c>
      <c r="C58" s="22">
        <v>2.0</v>
      </c>
      <c r="D58" s="23" t="s">
        <v>654</v>
      </c>
      <c r="E58" s="18"/>
      <c r="F58" s="18"/>
      <c r="G58" s="18"/>
      <c r="H58" s="19"/>
      <c r="I58" s="24" t="s">
        <v>579</v>
      </c>
      <c r="J58" s="18"/>
      <c r="K58" s="18"/>
      <c r="L58" s="19"/>
      <c r="M58" s="22" t="str">
        <f t="shared" si="7"/>
        <v>Público Pendente</v>
      </c>
      <c r="N58" s="1"/>
    </row>
    <row r="59" ht="15.75" customHeight="1">
      <c r="A59" s="1"/>
      <c r="B59" s="21" t="b">
        <v>0</v>
      </c>
      <c r="C59" s="22">
        <v>3.0</v>
      </c>
      <c r="D59" s="23" t="s">
        <v>657</v>
      </c>
      <c r="E59" s="18"/>
      <c r="F59" s="18"/>
      <c r="G59" s="18"/>
      <c r="H59" s="19"/>
      <c r="I59" s="24" t="s">
        <v>584</v>
      </c>
      <c r="J59" s="18"/>
      <c r="K59" s="18"/>
      <c r="L59" s="19"/>
      <c r="M59" s="22" t="str">
        <f t="shared" si="7"/>
        <v>Público Pendente</v>
      </c>
      <c r="N59" s="1"/>
    </row>
    <row r="60" ht="15.75" customHeight="1">
      <c r="A60" s="1"/>
      <c r="B60" s="21" t="b">
        <v>0</v>
      </c>
      <c r="C60" s="22">
        <v>4.0</v>
      </c>
      <c r="D60" s="23" t="s">
        <v>660</v>
      </c>
      <c r="E60" s="18"/>
      <c r="F60" s="18"/>
      <c r="G60" s="18"/>
      <c r="H60" s="19"/>
      <c r="I60" s="24" t="s">
        <v>589</v>
      </c>
      <c r="J60" s="18"/>
      <c r="K60" s="18"/>
      <c r="L60" s="19"/>
      <c r="M60" s="22" t="str">
        <f t="shared" si="7"/>
        <v>Público Pendente</v>
      </c>
      <c r="N60" s="1"/>
    </row>
    <row r="61" ht="15.75" customHeight="1">
      <c r="A61" s="1"/>
      <c r="B61" s="21" t="b">
        <v>0</v>
      </c>
      <c r="C61" s="22">
        <v>5.0</v>
      </c>
      <c r="D61" s="23" t="s">
        <v>664</v>
      </c>
      <c r="E61" s="18"/>
      <c r="F61" s="18"/>
      <c r="G61" s="18"/>
      <c r="H61" s="19"/>
      <c r="I61" s="24" t="s">
        <v>594</v>
      </c>
      <c r="J61" s="18"/>
      <c r="K61" s="18"/>
      <c r="L61" s="19"/>
      <c r="M61" s="22" t="str">
        <f t="shared" si="7"/>
        <v>Público Pendente</v>
      </c>
      <c r="N61" s="1"/>
    </row>
    <row r="62" ht="15.75" customHeight="1">
      <c r="A62" s="1"/>
      <c r="B62" s="1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1"/>
    </row>
    <row r="63" ht="15.75" customHeight="1">
      <c r="A63" s="1"/>
      <c r="B63" s="21" t="b">
        <v>0</v>
      </c>
      <c r="C63" s="22">
        <v>1.0</v>
      </c>
      <c r="D63" s="23" t="s">
        <v>667</v>
      </c>
      <c r="E63" s="18"/>
      <c r="F63" s="18"/>
      <c r="G63" s="18"/>
      <c r="H63" s="19"/>
      <c r="I63" s="24" t="s">
        <v>599</v>
      </c>
      <c r="J63" s="18"/>
      <c r="K63" s="18"/>
      <c r="L63" s="19"/>
      <c r="M63" s="22" t="str">
        <f t="shared" ref="M63:M67" si="8">IF(B63=TRUE,"Público Criado","Público Pendente")</f>
        <v>Público Pendente</v>
      </c>
      <c r="N63" s="1"/>
    </row>
    <row r="64" ht="15.75" customHeight="1">
      <c r="A64" s="1"/>
      <c r="B64" s="21" t="b">
        <v>0</v>
      </c>
      <c r="C64" s="22">
        <v>2.0</v>
      </c>
      <c r="D64" s="23" t="s">
        <v>670</v>
      </c>
      <c r="E64" s="18"/>
      <c r="F64" s="18"/>
      <c r="G64" s="18"/>
      <c r="H64" s="19"/>
      <c r="I64" s="24" t="s">
        <v>603</v>
      </c>
      <c r="J64" s="18"/>
      <c r="K64" s="18"/>
      <c r="L64" s="19"/>
      <c r="M64" s="22" t="str">
        <f t="shared" si="8"/>
        <v>Público Pendente</v>
      </c>
      <c r="N64" s="1"/>
    </row>
    <row r="65" ht="15.75" customHeight="1">
      <c r="A65" s="1"/>
      <c r="B65" s="21" t="b">
        <v>0</v>
      </c>
      <c r="C65" s="22">
        <v>3.0</v>
      </c>
      <c r="D65" s="23" t="s">
        <v>672</v>
      </c>
      <c r="E65" s="18"/>
      <c r="F65" s="18"/>
      <c r="G65" s="18"/>
      <c r="H65" s="19"/>
      <c r="I65" s="24" t="s">
        <v>608</v>
      </c>
      <c r="J65" s="18"/>
      <c r="K65" s="18"/>
      <c r="L65" s="19"/>
      <c r="M65" s="22" t="str">
        <f t="shared" si="8"/>
        <v>Público Pendente</v>
      </c>
      <c r="N65" s="1"/>
    </row>
    <row r="66" ht="15.75" customHeight="1">
      <c r="A66" s="1"/>
      <c r="B66" s="21" t="b">
        <v>0</v>
      </c>
      <c r="C66" s="22">
        <v>4.0</v>
      </c>
      <c r="D66" s="23" t="s">
        <v>676</v>
      </c>
      <c r="E66" s="18"/>
      <c r="F66" s="18"/>
      <c r="G66" s="18"/>
      <c r="H66" s="19"/>
      <c r="I66" s="24" t="s">
        <v>612</v>
      </c>
      <c r="J66" s="18"/>
      <c r="K66" s="18"/>
      <c r="L66" s="19"/>
      <c r="M66" s="22" t="str">
        <f t="shared" si="8"/>
        <v>Público Pendente</v>
      </c>
      <c r="N66" s="1"/>
    </row>
    <row r="67" ht="15.75" customHeight="1">
      <c r="A67" s="1"/>
      <c r="B67" s="21" t="b">
        <v>0</v>
      </c>
      <c r="C67" s="22">
        <v>5.0</v>
      </c>
      <c r="D67" s="23" t="s">
        <v>679</v>
      </c>
      <c r="E67" s="18"/>
      <c r="F67" s="18"/>
      <c r="G67" s="18"/>
      <c r="H67" s="19"/>
      <c r="I67" s="24" t="s">
        <v>616</v>
      </c>
      <c r="J67" s="18"/>
      <c r="K67" s="18"/>
      <c r="L67" s="19"/>
      <c r="M67" s="22" t="str">
        <f t="shared" si="8"/>
        <v>Público Pendente</v>
      </c>
      <c r="N67" s="1"/>
    </row>
    <row r="68" ht="15.75" customHeight="1">
      <c r="A68" s="1"/>
      <c r="B68" s="60"/>
      <c r="C68" s="14"/>
      <c r="N68" s="1"/>
    </row>
    <row r="69" ht="15.75" customHeight="1">
      <c r="A69" s="1"/>
      <c r="C69" s="14"/>
      <c r="N69" s="1"/>
    </row>
    <row r="70" ht="15.75" customHeight="1">
      <c r="A70" s="1"/>
      <c r="B70" s="15" t="s">
        <v>684</v>
      </c>
      <c r="N70" s="1"/>
    </row>
    <row r="71" ht="15.75" customHeight="1">
      <c r="A71" s="1"/>
      <c r="N71" s="1"/>
    </row>
    <row r="72" ht="15.75" customHeight="1">
      <c r="A72" s="1"/>
      <c r="N72" s="1"/>
    </row>
    <row r="73" ht="15.75" customHeight="1">
      <c r="A73" s="1"/>
      <c r="C73" s="14"/>
      <c r="N73" s="1"/>
    </row>
    <row r="74" ht="15.75" customHeight="1">
      <c r="A74" s="1"/>
      <c r="B74" s="16"/>
      <c r="C74" s="16" t="s">
        <v>4</v>
      </c>
      <c r="D74" s="17" t="s">
        <v>5</v>
      </c>
      <c r="E74" s="18"/>
      <c r="F74" s="18"/>
      <c r="G74" s="18"/>
      <c r="H74" s="19"/>
      <c r="I74" s="20" t="s">
        <v>6</v>
      </c>
      <c r="J74" s="18"/>
      <c r="K74" s="18"/>
      <c r="L74" s="19"/>
      <c r="M74" s="16" t="s">
        <v>7</v>
      </c>
      <c r="N74" s="1"/>
    </row>
    <row r="75" ht="15.75" customHeight="1">
      <c r="A75" s="1"/>
      <c r="B75" s="21" t="b">
        <v>0</v>
      </c>
      <c r="C75" s="22">
        <v>1.0</v>
      </c>
      <c r="D75" s="23" t="s">
        <v>685</v>
      </c>
      <c r="E75" s="18"/>
      <c r="F75" s="18"/>
      <c r="G75" s="18"/>
      <c r="H75" s="19"/>
      <c r="I75" s="24" t="s">
        <v>428</v>
      </c>
      <c r="J75" s="18"/>
      <c r="K75" s="18"/>
      <c r="L75" s="19"/>
      <c r="M75" s="22" t="str">
        <f t="shared" ref="M75:M79" si="9">IF(B75=TRUE,"Público Criado","Público Pendente")</f>
        <v>Público Pendente</v>
      </c>
      <c r="N75" s="1"/>
    </row>
    <row r="76" ht="15.75" customHeight="1">
      <c r="A76" s="1"/>
      <c r="B76" s="21" t="b">
        <v>0</v>
      </c>
      <c r="C76" s="22">
        <v>2.0</v>
      </c>
      <c r="D76" s="23" t="s">
        <v>686</v>
      </c>
      <c r="E76" s="18"/>
      <c r="F76" s="18"/>
      <c r="G76" s="18"/>
      <c r="H76" s="19"/>
      <c r="I76" s="24" t="s">
        <v>438</v>
      </c>
      <c r="J76" s="18"/>
      <c r="K76" s="18"/>
      <c r="L76" s="19"/>
      <c r="M76" s="22" t="str">
        <f t="shared" si="9"/>
        <v>Público Pendente</v>
      </c>
      <c r="N76" s="1"/>
    </row>
    <row r="77" ht="15.75" customHeight="1">
      <c r="A77" s="1"/>
      <c r="B77" s="21" t="b">
        <v>0</v>
      </c>
      <c r="C77" s="22">
        <v>3.0</v>
      </c>
      <c r="D77" s="23" t="s">
        <v>689</v>
      </c>
      <c r="E77" s="18"/>
      <c r="F77" s="18"/>
      <c r="G77" s="18"/>
      <c r="H77" s="19"/>
      <c r="I77" s="24" t="s">
        <v>446</v>
      </c>
      <c r="J77" s="18"/>
      <c r="K77" s="18"/>
      <c r="L77" s="19"/>
      <c r="M77" s="22" t="str">
        <f t="shared" si="9"/>
        <v>Público Pendente</v>
      </c>
      <c r="N77" s="1"/>
    </row>
    <row r="78" ht="15.75" customHeight="1">
      <c r="A78" s="1"/>
      <c r="B78" s="21" t="b">
        <v>0</v>
      </c>
      <c r="C78" s="22">
        <v>4.0</v>
      </c>
      <c r="D78" s="23" t="s">
        <v>692</v>
      </c>
      <c r="E78" s="18"/>
      <c r="F78" s="18"/>
      <c r="G78" s="18"/>
      <c r="H78" s="19"/>
      <c r="I78" s="24" t="s">
        <v>455</v>
      </c>
      <c r="J78" s="18"/>
      <c r="K78" s="18"/>
      <c r="L78" s="19"/>
      <c r="M78" s="22" t="str">
        <f t="shared" si="9"/>
        <v>Público Pendente</v>
      </c>
      <c r="N78" s="1"/>
    </row>
    <row r="79" ht="15.75" customHeight="1">
      <c r="A79" s="1"/>
      <c r="B79" s="21" t="b">
        <v>0</v>
      </c>
      <c r="C79" s="22">
        <v>5.0</v>
      </c>
      <c r="D79" s="23" t="s">
        <v>695</v>
      </c>
      <c r="E79" s="18"/>
      <c r="F79" s="18"/>
      <c r="G79" s="18"/>
      <c r="H79" s="19"/>
      <c r="I79" s="24" t="s">
        <v>506</v>
      </c>
      <c r="J79" s="18"/>
      <c r="K79" s="18"/>
      <c r="L79" s="19"/>
      <c r="M79" s="22" t="str">
        <f t="shared" si="9"/>
        <v>Público Pendente</v>
      </c>
      <c r="N79" s="1"/>
    </row>
    <row r="80" ht="15.75" customHeight="1">
      <c r="A80" s="1"/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1"/>
    </row>
    <row r="81" ht="15.75" customHeight="1">
      <c r="A81" s="1"/>
      <c r="B81" s="21" t="b">
        <v>0</v>
      </c>
      <c r="C81" s="22">
        <v>1.0</v>
      </c>
      <c r="D81" s="23" t="s">
        <v>700</v>
      </c>
      <c r="E81" s="18"/>
      <c r="F81" s="18"/>
      <c r="G81" s="18"/>
      <c r="H81" s="19"/>
      <c r="I81" s="24" t="s">
        <v>555</v>
      </c>
      <c r="J81" s="18"/>
      <c r="K81" s="18"/>
      <c r="L81" s="19"/>
      <c r="M81" s="22" t="str">
        <f t="shared" ref="M81:M85" si="10">IF(B81=TRUE,"Público Criado","Público Pendente")</f>
        <v>Público Pendente</v>
      </c>
      <c r="N81" s="1"/>
    </row>
    <row r="82" ht="15.75" customHeight="1">
      <c r="A82" s="1"/>
      <c r="B82" s="21" t="b">
        <v>0</v>
      </c>
      <c r="C82" s="22">
        <v>2.0</v>
      </c>
      <c r="D82" s="23" t="s">
        <v>703</v>
      </c>
      <c r="E82" s="18"/>
      <c r="F82" s="18"/>
      <c r="G82" s="18"/>
      <c r="H82" s="19"/>
      <c r="I82" s="24" t="s">
        <v>559</v>
      </c>
      <c r="J82" s="18"/>
      <c r="K82" s="18"/>
      <c r="L82" s="19"/>
      <c r="M82" s="22" t="str">
        <f t="shared" si="10"/>
        <v>Público Pendente</v>
      </c>
      <c r="N82" s="1"/>
    </row>
    <row r="83" ht="15.75" customHeight="1">
      <c r="A83" s="1"/>
      <c r="B83" s="21" t="b">
        <v>0</v>
      </c>
      <c r="C83" s="22">
        <v>3.0</v>
      </c>
      <c r="D83" s="23" t="s">
        <v>706</v>
      </c>
      <c r="E83" s="18"/>
      <c r="F83" s="18"/>
      <c r="G83" s="18"/>
      <c r="H83" s="19"/>
      <c r="I83" s="24" t="s">
        <v>563</v>
      </c>
      <c r="J83" s="18"/>
      <c r="K83" s="18"/>
      <c r="L83" s="19"/>
      <c r="M83" s="22" t="str">
        <f t="shared" si="10"/>
        <v>Público Pendente</v>
      </c>
      <c r="N83" s="1"/>
    </row>
    <row r="84" ht="15.75" customHeight="1">
      <c r="A84" s="1"/>
      <c r="B84" s="21" t="b">
        <v>0</v>
      </c>
      <c r="C84" s="22">
        <v>4.0</v>
      </c>
      <c r="D84" s="23" t="s">
        <v>709</v>
      </c>
      <c r="E84" s="18"/>
      <c r="F84" s="18"/>
      <c r="G84" s="18"/>
      <c r="H84" s="19"/>
      <c r="I84" s="24" t="s">
        <v>567</v>
      </c>
      <c r="J84" s="18"/>
      <c r="K84" s="18"/>
      <c r="L84" s="19"/>
      <c r="M84" s="22" t="str">
        <f t="shared" si="10"/>
        <v>Público Pendente</v>
      </c>
      <c r="N84" s="1"/>
    </row>
    <row r="85" ht="15.75" customHeight="1">
      <c r="A85" s="1"/>
      <c r="B85" s="21" t="b">
        <v>0</v>
      </c>
      <c r="C85" s="22">
        <v>5.0</v>
      </c>
      <c r="D85" s="23" t="s">
        <v>712</v>
      </c>
      <c r="E85" s="18"/>
      <c r="F85" s="18"/>
      <c r="G85" s="18"/>
      <c r="H85" s="19"/>
      <c r="I85" s="24" t="s">
        <v>571</v>
      </c>
      <c r="J85" s="18"/>
      <c r="K85" s="18"/>
      <c r="L85" s="19"/>
      <c r="M85" s="22" t="str">
        <f t="shared" si="10"/>
        <v>Público Pendente</v>
      </c>
      <c r="N85" s="1"/>
    </row>
    <row r="86" ht="15.75" customHeight="1">
      <c r="A86" s="1"/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1"/>
    </row>
    <row r="87" ht="15.75" customHeight="1">
      <c r="A87" s="1"/>
      <c r="B87" s="21" t="b">
        <v>0</v>
      </c>
      <c r="C87" s="22">
        <v>1.0</v>
      </c>
      <c r="D87" s="23" t="s">
        <v>717</v>
      </c>
      <c r="E87" s="18"/>
      <c r="F87" s="18"/>
      <c r="G87" s="18"/>
      <c r="H87" s="19"/>
      <c r="I87" s="24" t="s">
        <v>576</v>
      </c>
      <c r="J87" s="18"/>
      <c r="K87" s="18"/>
      <c r="L87" s="19"/>
      <c r="M87" s="22" t="str">
        <f t="shared" ref="M87:M91" si="11">IF(B87=TRUE,"Público Criado","Público Pendente")</f>
        <v>Público Pendente</v>
      </c>
      <c r="N87" s="1"/>
    </row>
    <row r="88" ht="15.75" customHeight="1">
      <c r="A88" s="1"/>
      <c r="B88" s="21" t="b">
        <v>0</v>
      </c>
      <c r="C88" s="22">
        <v>2.0</v>
      </c>
      <c r="D88" s="23" t="s">
        <v>720</v>
      </c>
      <c r="E88" s="18"/>
      <c r="F88" s="18"/>
      <c r="G88" s="18"/>
      <c r="H88" s="19"/>
      <c r="I88" s="24" t="s">
        <v>579</v>
      </c>
      <c r="J88" s="18"/>
      <c r="K88" s="18"/>
      <c r="L88" s="19"/>
      <c r="M88" s="22" t="str">
        <f t="shared" si="11"/>
        <v>Público Pendente</v>
      </c>
      <c r="N88" s="1"/>
    </row>
    <row r="89" ht="15.75" customHeight="1">
      <c r="A89" s="1"/>
      <c r="B89" s="21" t="b">
        <v>0</v>
      </c>
      <c r="C89" s="22">
        <v>3.0</v>
      </c>
      <c r="D89" s="23" t="s">
        <v>722</v>
      </c>
      <c r="E89" s="18"/>
      <c r="F89" s="18"/>
      <c r="G89" s="18"/>
      <c r="H89" s="19"/>
      <c r="I89" s="24" t="s">
        <v>584</v>
      </c>
      <c r="J89" s="18"/>
      <c r="K89" s="18"/>
      <c r="L89" s="19"/>
      <c r="M89" s="22" t="str">
        <f t="shared" si="11"/>
        <v>Público Pendente</v>
      </c>
      <c r="N89" s="1"/>
    </row>
    <row r="90" ht="15.75" customHeight="1">
      <c r="A90" s="1"/>
      <c r="B90" s="21" t="b">
        <v>0</v>
      </c>
      <c r="C90" s="22">
        <v>4.0</v>
      </c>
      <c r="D90" s="23" t="s">
        <v>724</v>
      </c>
      <c r="E90" s="18"/>
      <c r="F90" s="18"/>
      <c r="G90" s="18"/>
      <c r="H90" s="19"/>
      <c r="I90" s="24" t="s">
        <v>589</v>
      </c>
      <c r="J90" s="18"/>
      <c r="K90" s="18"/>
      <c r="L90" s="19"/>
      <c r="M90" s="22" t="str">
        <f t="shared" si="11"/>
        <v>Público Pendente</v>
      </c>
      <c r="N90" s="1"/>
    </row>
    <row r="91" ht="15.75" customHeight="1">
      <c r="A91" s="1"/>
      <c r="B91" s="21" t="b">
        <v>0</v>
      </c>
      <c r="C91" s="22">
        <v>5.0</v>
      </c>
      <c r="D91" s="23" t="s">
        <v>726</v>
      </c>
      <c r="E91" s="18"/>
      <c r="F91" s="18"/>
      <c r="G91" s="18"/>
      <c r="H91" s="19"/>
      <c r="I91" s="24" t="s">
        <v>594</v>
      </c>
      <c r="J91" s="18"/>
      <c r="K91" s="18"/>
      <c r="L91" s="19"/>
      <c r="M91" s="22" t="str">
        <f t="shared" si="11"/>
        <v>Público Pendente</v>
      </c>
      <c r="N91" s="1"/>
    </row>
    <row r="92" ht="15.75" customHeight="1">
      <c r="A92" s="1"/>
      <c r="B92" s="1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1"/>
    </row>
    <row r="93" ht="15.75" customHeight="1">
      <c r="A93" s="1"/>
      <c r="B93" s="21" t="b">
        <v>0</v>
      </c>
      <c r="C93" s="22">
        <v>1.0</v>
      </c>
      <c r="D93" s="23" t="s">
        <v>731</v>
      </c>
      <c r="E93" s="18"/>
      <c r="F93" s="18"/>
      <c r="G93" s="18"/>
      <c r="H93" s="19"/>
      <c r="I93" s="24" t="s">
        <v>599</v>
      </c>
      <c r="J93" s="18"/>
      <c r="K93" s="18"/>
      <c r="L93" s="19"/>
      <c r="M93" s="22" t="str">
        <f t="shared" ref="M93:M97" si="12">IF(B93=TRUE,"Público Criado","Público Pendente")</f>
        <v>Público Pendente</v>
      </c>
      <c r="N93" s="1"/>
    </row>
    <row r="94" ht="15.75" customHeight="1">
      <c r="A94" s="1"/>
      <c r="B94" s="21" t="b">
        <v>0</v>
      </c>
      <c r="C94" s="22">
        <v>2.0</v>
      </c>
      <c r="D94" s="23" t="s">
        <v>735</v>
      </c>
      <c r="E94" s="18"/>
      <c r="F94" s="18"/>
      <c r="G94" s="18"/>
      <c r="H94" s="19"/>
      <c r="I94" s="24" t="s">
        <v>603</v>
      </c>
      <c r="J94" s="18"/>
      <c r="K94" s="18"/>
      <c r="L94" s="19"/>
      <c r="M94" s="22" t="str">
        <f t="shared" si="12"/>
        <v>Público Pendente</v>
      </c>
      <c r="N94" s="1"/>
    </row>
    <row r="95" ht="15.75" customHeight="1">
      <c r="A95" s="1"/>
      <c r="B95" s="21" t="b">
        <v>0</v>
      </c>
      <c r="C95" s="22">
        <v>3.0</v>
      </c>
      <c r="D95" s="23" t="s">
        <v>738</v>
      </c>
      <c r="E95" s="18"/>
      <c r="F95" s="18"/>
      <c r="G95" s="18"/>
      <c r="H95" s="19"/>
      <c r="I95" s="24" t="s">
        <v>608</v>
      </c>
      <c r="J95" s="18"/>
      <c r="K95" s="18"/>
      <c r="L95" s="19"/>
      <c r="M95" s="22" t="str">
        <f t="shared" si="12"/>
        <v>Público Pendente</v>
      </c>
      <c r="N95" s="1"/>
    </row>
    <row r="96" ht="15.75" customHeight="1">
      <c r="A96" s="1"/>
      <c r="B96" s="21" t="b">
        <v>0</v>
      </c>
      <c r="C96" s="22">
        <v>4.0</v>
      </c>
      <c r="D96" s="23" t="s">
        <v>740</v>
      </c>
      <c r="E96" s="18"/>
      <c r="F96" s="18"/>
      <c r="G96" s="18"/>
      <c r="H96" s="19"/>
      <c r="I96" s="24" t="s">
        <v>612</v>
      </c>
      <c r="J96" s="18"/>
      <c r="K96" s="18"/>
      <c r="L96" s="19"/>
      <c r="M96" s="22" t="str">
        <f t="shared" si="12"/>
        <v>Público Pendente</v>
      </c>
      <c r="N96" s="1"/>
    </row>
    <row r="97" ht="15.75" customHeight="1">
      <c r="A97" s="1"/>
      <c r="B97" s="21" t="b">
        <v>0</v>
      </c>
      <c r="C97" s="22">
        <v>5.0</v>
      </c>
      <c r="D97" s="23" t="s">
        <v>742</v>
      </c>
      <c r="E97" s="18"/>
      <c r="F97" s="18"/>
      <c r="G97" s="18"/>
      <c r="H97" s="19"/>
      <c r="I97" s="24" t="s">
        <v>616</v>
      </c>
      <c r="J97" s="18"/>
      <c r="K97" s="18"/>
      <c r="L97" s="19"/>
      <c r="M97" s="22" t="str">
        <f t="shared" si="12"/>
        <v>Público Pendente</v>
      </c>
      <c r="N97" s="1"/>
    </row>
    <row r="98" ht="15.75" customHeight="1">
      <c r="A98" s="1"/>
      <c r="C98" s="14"/>
      <c r="N98" s="1"/>
    </row>
    <row r="99" ht="15.75" customHeight="1">
      <c r="A99" s="1"/>
      <c r="C99" s="14"/>
      <c r="N99" s="1"/>
    </row>
    <row r="100" ht="15.75" customHeight="1">
      <c r="A100" s="25"/>
      <c r="B100" s="26" t="s">
        <v>744</v>
      </c>
      <c r="N100" s="25"/>
    </row>
    <row r="101" ht="15.75" customHeight="1">
      <c r="A101" s="25"/>
      <c r="N101" s="25"/>
    </row>
    <row r="102" ht="15.75" customHeight="1">
      <c r="A102" s="25"/>
      <c r="N102" s="25"/>
    </row>
    <row r="103" ht="15.75" customHeight="1">
      <c r="A103" s="25"/>
      <c r="C103" s="14"/>
      <c r="N103" s="25"/>
    </row>
    <row r="104" ht="15.75" customHeight="1">
      <c r="A104" s="25"/>
      <c r="B104" s="27"/>
      <c r="C104" s="27" t="s">
        <v>4</v>
      </c>
      <c r="D104" s="28" t="s">
        <v>5</v>
      </c>
      <c r="E104" s="18"/>
      <c r="F104" s="18"/>
      <c r="G104" s="18"/>
      <c r="H104" s="19"/>
      <c r="I104" s="29" t="s">
        <v>6</v>
      </c>
      <c r="J104" s="18"/>
      <c r="K104" s="18"/>
      <c r="L104" s="19"/>
      <c r="M104" s="27" t="s">
        <v>7</v>
      </c>
      <c r="N104" s="25"/>
    </row>
    <row r="105" ht="15.75" customHeight="1">
      <c r="A105" s="25"/>
      <c r="B105" s="21" t="b">
        <v>0</v>
      </c>
      <c r="C105" s="22">
        <v>1.0</v>
      </c>
      <c r="D105" s="23" t="s">
        <v>752</v>
      </c>
      <c r="E105" s="18"/>
      <c r="F105" s="18"/>
      <c r="G105" s="18"/>
      <c r="H105" s="19"/>
      <c r="I105" s="24" t="s">
        <v>754</v>
      </c>
      <c r="J105" s="18"/>
      <c r="K105" s="18"/>
      <c r="L105" s="19"/>
      <c r="M105" s="22" t="str">
        <f t="shared" ref="M105:M109" si="13">IF(B105=TRUE,"Público Criado","Público Pendente")</f>
        <v>Público Pendente</v>
      </c>
      <c r="N105" s="25"/>
    </row>
    <row r="106" ht="15.75" customHeight="1">
      <c r="A106" s="25"/>
      <c r="B106" s="21" t="b">
        <v>0</v>
      </c>
      <c r="C106" s="22">
        <v>2.0</v>
      </c>
      <c r="D106" s="23" t="s">
        <v>758</v>
      </c>
      <c r="E106" s="18"/>
      <c r="F106" s="18"/>
      <c r="G106" s="18"/>
      <c r="H106" s="19"/>
      <c r="I106" s="24" t="s">
        <v>759</v>
      </c>
      <c r="J106" s="18"/>
      <c r="K106" s="18"/>
      <c r="L106" s="19"/>
      <c r="M106" s="22" t="str">
        <f t="shared" si="13"/>
        <v>Público Pendente</v>
      </c>
      <c r="N106" s="25"/>
    </row>
    <row r="107" ht="15.75" customHeight="1">
      <c r="A107" s="25"/>
      <c r="B107" s="21" t="b">
        <v>0</v>
      </c>
      <c r="C107" s="22">
        <v>3.0</v>
      </c>
      <c r="D107" s="23" t="s">
        <v>760</v>
      </c>
      <c r="E107" s="18"/>
      <c r="F107" s="18"/>
      <c r="G107" s="18"/>
      <c r="H107" s="19"/>
      <c r="I107" s="24" t="s">
        <v>761</v>
      </c>
      <c r="J107" s="18"/>
      <c r="K107" s="18"/>
      <c r="L107" s="19"/>
      <c r="M107" s="22" t="str">
        <f t="shared" si="13"/>
        <v>Público Pendente</v>
      </c>
      <c r="N107" s="25"/>
    </row>
    <row r="108" ht="15.75" customHeight="1">
      <c r="A108" s="25"/>
      <c r="B108" s="21" t="b">
        <v>0</v>
      </c>
      <c r="C108" s="22">
        <v>4.0</v>
      </c>
      <c r="D108" s="23" t="s">
        <v>764</v>
      </c>
      <c r="E108" s="18"/>
      <c r="F108" s="18"/>
      <c r="G108" s="18"/>
      <c r="H108" s="19"/>
      <c r="I108" s="24" t="s">
        <v>765</v>
      </c>
      <c r="J108" s="18"/>
      <c r="K108" s="18"/>
      <c r="L108" s="19"/>
      <c r="M108" s="22" t="str">
        <f t="shared" si="13"/>
        <v>Público Pendente</v>
      </c>
      <c r="N108" s="25"/>
    </row>
    <row r="109" ht="15.75" customHeight="1">
      <c r="A109" s="25"/>
      <c r="B109" s="21" t="b">
        <v>0</v>
      </c>
      <c r="C109" s="22">
        <v>5.0</v>
      </c>
      <c r="D109" s="23" t="s">
        <v>769</v>
      </c>
      <c r="E109" s="18"/>
      <c r="F109" s="18"/>
      <c r="G109" s="18"/>
      <c r="H109" s="19"/>
      <c r="I109" s="24" t="s">
        <v>770</v>
      </c>
      <c r="J109" s="18"/>
      <c r="K109" s="18"/>
      <c r="L109" s="19"/>
      <c r="M109" s="22" t="str">
        <f t="shared" si="13"/>
        <v>Público Pendente</v>
      </c>
      <c r="N109" s="25"/>
    </row>
    <row r="110" ht="15.75" customHeight="1">
      <c r="A110" s="25"/>
      <c r="B110" s="2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5"/>
    </row>
    <row r="111" ht="15.75" customHeight="1">
      <c r="A111" s="25"/>
      <c r="B111" s="21" t="b">
        <v>0</v>
      </c>
      <c r="C111" s="22">
        <v>1.0</v>
      </c>
      <c r="D111" s="23" t="s">
        <v>773</v>
      </c>
      <c r="E111" s="18"/>
      <c r="F111" s="18"/>
      <c r="G111" s="18"/>
      <c r="H111" s="19"/>
      <c r="I111" s="24" t="s">
        <v>775</v>
      </c>
      <c r="J111" s="18"/>
      <c r="K111" s="18"/>
      <c r="L111" s="19"/>
      <c r="M111" s="22" t="str">
        <f t="shared" ref="M111:M115" si="14">IF(B111=TRUE,"Público Criado","Público Pendente")</f>
        <v>Público Pendente</v>
      </c>
      <c r="N111" s="25"/>
    </row>
    <row r="112" ht="15.75" customHeight="1">
      <c r="A112" s="25"/>
      <c r="B112" s="21" t="b">
        <v>0</v>
      </c>
      <c r="C112" s="22">
        <v>2.0</v>
      </c>
      <c r="D112" s="23" t="s">
        <v>778</v>
      </c>
      <c r="E112" s="18"/>
      <c r="F112" s="18"/>
      <c r="G112" s="18"/>
      <c r="H112" s="19"/>
      <c r="I112" s="24" t="s">
        <v>779</v>
      </c>
      <c r="J112" s="18"/>
      <c r="K112" s="18"/>
      <c r="L112" s="19"/>
      <c r="M112" s="22" t="str">
        <f t="shared" si="14"/>
        <v>Público Pendente</v>
      </c>
      <c r="N112" s="25"/>
    </row>
    <row r="113" ht="15.75" customHeight="1">
      <c r="A113" s="25"/>
      <c r="B113" s="21" t="b">
        <v>0</v>
      </c>
      <c r="C113" s="22">
        <v>3.0</v>
      </c>
      <c r="D113" s="23" t="s">
        <v>782</v>
      </c>
      <c r="E113" s="18"/>
      <c r="F113" s="18"/>
      <c r="G113" s="18"/>
      <c r="H113" s="19"/>
      <c r="I113" s="24" t="s">
        <v>783</v>
      </c>
      <c r="J113" s="18"/>
      <c r="K113" s="18"/>
      <c r="L113" s="19"/>
      <c r="M113" s="22" t="str">
        <f t="shared" si="14"/>
        <v>Público Pendente</v>
      </c>
      <c r="N113" s="25"/>
    </row>
    <row r="114" ht="15.75" customHeight="1">
      <c r="A114" s="25"/>
      <c r="B114" s="21" t="b">
        <v>0</v>
      </c>
      <c r="C114" s="22">
        <v>4.0</v>
      </c>
      <c r="D114" s="23" t="s">
        <v>784</v>
      </c>
      <c r="E114" s="18"/>
      <c r="F114" s="18"/>
      <c r="G114" s="18"/>
      <c r="H114" s="19"/>
      <c r="I114" s="24" t="s">
        <v>785</v>
      </c>
      <c r="J114" s="18"/>
      <c r="K114" s="18"/>
      <c r="L114" s="19"/>
      <c r="M114" s="22" t="str">
        <f t="shared" si="14"/>
        <v>Público Pendente</v>
      </c>
      <c r="N114" s="25"/>
    </row>
    <row r="115" ht="15.75" customHeight="1">
      <c r="A115" s="25"/>
      <c r="B115" s="21" t="b">
        <v>0</v>
      </c>
      <c r="C115" s="22">
        <v>5.0</v>
      </c>
      <c r="D115" s="23" t="s">
        <v>786</v>
      </c>
      <c r="E115" s="18"/>
      <c r="F115" s="18"/>
      <c r="G115" s="18"/>
      <c r="H115" s="19"/>
      <c r="I115" s="24" t="s">
        <v>787</v>
      </c>
      <c r="J115" s="18"/>
      <c r="K115" s="18"/>
      <c r="L115" s="19"/>
      <c r="M115" s="22" t="str">
        <f t="shared" si="14"/>
        <v>Público Pendente</v>
      </c>
      <c r="N115" s="25"/>
    </row>
    <row r="116" ht="15.75" customHeight="1">
      <c r="A116" s="25"/>
      <c r="B116" s="2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5"/>
    </row>
    <row r="117" ht="15.75" customHeight="1">
      <c r="A117" s="25"/>
      <c r="B117" s="21" t="b">
        <v>0</v>
      </c>
      <c r="C117" s="22">
        <v>1.0</v>
      </c>
      <c r="D117" s="23" t="s">
        <v>788</v>
      </c>
      <c r="E117" s="18"/>
      <c r="F117" s="18"/>
      <c r="G117" s="18"/>
      <c r="H117" s="19"/>
      <c r="I117" s="24" t="s">
        <v>789</v>
      </c>
      <c r="J117" s="18"/>
      <c r="K117" s="18"/>
      <c r="L117" s="19"/>
      <c r="M117" s="22" t="str">
        <f t="shared" ref="M117:M121" si="15">IF(B117=TRUE,"Público Criado","Público Pendente")</f>
        <v>Público Pendente</v>
      </c>
      <c r="N117" s="25"/>
    </row>
    <row r="118" ht="15.75" customHeight="1">
      <c r="A118" s="25"/>
      <c r="B118" s="21" t="b">
        <v>0</v>
      </c>
      <c r="C118" s="22">
        <v>2.0</v>
      </c>
      <c r="D118" s="23" t="s">
        <v>790</v>
      </c>
      <c r="E118" s="18"/>
      <c r="F118" s="18"/>
      <c r="G118" s="18"/>
      <c r="H118" s="19"/>
      <c r="I118" s="24" t="s">
        <v>791</v>
      </c>
      <c r="J118" s="18"/>
      <c r="K118" s="18"/>
      <c r="L118" s="19"/>
      <c r="M118" s="22" t="str">
        <f t="shared" si="15"/>
        <v>Público Pendente</v>
      </c>
      <c r="N118" s="25"/>
    </row>
    <row r="119" ht="15.75" customHeight="1">
      <c r="A119" s="25"/>
      <c r="B119" s="21" t="b">
        <v>0</v>
      </c>
      <c r="C119" s="22">
        <v>3.0</v>
      </c>
      <c r="D119" s="23" t="s">
        <v>792</v>
      </c>
      <c r="E119" s="18"/>
      <c r="F119" s="18"/>
      <c r="G119" s="18"/>
      <c r="H119" s="19"/>
      <c r="I119" s="24" t="s">
        <v>793</v>
      </c>
      <c r="J119" s="18"/>
      <c r="K119" s="18"/>
      <c r="L119" s="19"/>
      <c r="M119" s="22" t="str">
        <f t="shared" si="15"/>
        <v>Público Pendente</v>
      </c>
      <c r="N119" s="25"/>
    </row>
    <row r="120" ht="15.75" customHeight="1">
      <c r="A120" s="25"/>
      <c r="B120" s="21" t="b">
        <v>0</v>
      </c>
      <c r="C120" s="22">
        <v>4.0</v>
      </c>
      <c r="D120" s="23" t="s">
        <v>794</v>
      </c>
      <c r="E120" s="18"/>
      <c r="F120" s="18"/>
      <c r="G120" s="18"/>
      <c r="H120" s="19"/>
      <c r="I120" s="24" t="s">
        <v>795</v>
      </c>
      <c r="J120" s="18"/>
      <c r="K120" s="18"/>
      <c r="L120" s="19"/>
      <c r="M120" s="22" t="str">
        <f t="shared" si="15"/>
        <v>Público Pendente</v>
      </c>
      <c r="N120" s="25"/>
    </row>
    <row r="121" ht="15.75" customHeight="1">
      <c r="A121" s="25"/>
      <c r="B121" s="21" t="b">
        <v>0</v>
      </c>
      <c r="C121" s="22">
        <v>5.0</v>
      </c>
      <c r="D121" s="23" t="s">
        <v>796</v>
      </c>
      <c r="E121" s="18"/>
      <c r="F121" s="18"/>
      <c r="G121" s="18"/>
      <c r="H121" s="19"/>
      <c r="I121" s="24" t="s">
        <v>797</v>
      </c>
      <c r="J121" s="18"/>
      <c r="K121" s="18"/>
      <c r="L121" s="19"/>
      <c r="M121" s="22" t="str">
        <f t="shared" si="15"/>
        <v>Público Pendente</v>
      </c>
      <c r="N121" s="25"/>
    </row>
    <row r="122" ht="15.75" customHeight="1">
      <c r="A122" s="25"/>
      <c r="B122" s="2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5"/>
    </row>
    <row r="123" ht="15.75" customHeight="1">
      <c r="A123" s="25"/>
      <c r="B123" s="21" t="b">
        <v>0</v>
      </c>
      <c r="C123" s="22">
        <v>1.0</v>
      </c>
      <c r="D123" s="23" t="s">
        <v>798</v>
      </c>
      <c r="E123" s="18"/>
      <c r="F123" s="18"/>
      <c r="G123" s="18"/>
      <c r="H123" s="19"/>
      <c r="I123" s="24" t="s">
        <v>799</v>
      </c>
      <c r="J123" s="18"/>
      <c r="K123" s="18"/>
      <c r="L123" s="19"/>
      <c r="M123" s="22" t="str">
        <f t="shared" ref="M123:M127" si="16">IF(B123=TRUE,"Público Criado","Público Pendente")</f>
        <v>Público Pendente</v>
      </c>
      <c r="N123" s="25"/>
    </row>
    <row r="124" ht="15.75" customHeight="1">
      <c r="A124" s="25"/>
      <c r="B124" s="21" t="b">
        <v>0</v>
      </c>
      <c r="C124" s="22">
        <v>2.0</v>
      </c>
      <c r="D124" s="23" t="s">
        <v>800</v>
      </c>
      <c r="E124" s="18"/>
      <c r="F124" s="18"/>
      <c r="G124" s="18"/>
      <c r="H124" s="19"/>
      <c r="I124" s="24" t="s">
        <v>801</v>
      </c>
      <c r="J124" s="18"/>
      <c r="K124" s="18"/>
      <c r="L124" s="19"/>
      <c r="M124" s="22" t="str">
        <f t="shared" si="16"/>
        <v>Público Pendente</v>
      </c>
      <c r="N124" s="25"/>
    </row>
    <row r="125" ht="15.75" customHeight="1">
      <c r="A125" s="25"/>
      <c r="B125" s="21" t="b">
        <v>0</v>
      </c>
      <c r="C125" s="22">
        <v>3.0</v>
      </c>
      <c r="D125" s="23" t="s">
        <v>802</v>
      </c>
      <c r="E125" s="18"/>
      <c r="F125" s="18"/>
      <c r="G125" s="18"/>
      <c r="H125" s="19"/>
      <c r="I125" s="24" t="s">
        <v>803</v>
      </c>
      <c r="J125" s="18"/>
      <c r="K125" s="18"/>
      <c r="L125" s="19"/>
      <c r="M125" s="22" t="str">
        <f t="shared" si="16"/>
        <v>Público Pendente</v>
      </c>
      <c r="N125" s="25"/>
    </row>
    <row r="126" ht="15.75" customHeight="1">
      <c r="A126" s="25"/>
      <c r="B126" s="21" t="b">
        <v>0</v>
      </c>
      <c r="C126" s="22">
        <v>4.0</v>
      </c>
      <c r="D126" s="23" t="s">
        <v>804</v>
      </c>
      <c r="E126" s="18"/>
      <c r="F126" s="18"/>
      <c r="G126" s="18"/>
      <c r="H126" s="19"/>
      <c r="I126" s="24" t="s">
        <v>805</v>
      </c>
      <c r="J126" s="18"/>
      <c r="K126" s="18"/>
      <c r="L126" s="19"/>
      <c r="M126" s="22" t="str">
        <f t="shared" si="16"/>
        <v>Público Pendente</v>
      </c>
      <c r="N126" s="25"/>
    </row>
    <row r="127" ht="15.75" customHeight="1">
      <c r="A127" s="25"/>
      <c r="B127" s="21" t="b">
        <v>0</v>
      </c>
      <c r="C127" s="22">
        <v>5.0</v>
      </c>
      <c r="D127" s="23" t="s">
        <v>806</v>
      </c>
      <c r="E127" s="18"/>
      <c r="F127" s="18"/>
      <c r="G127" s="18"/>
      <c r="H127" s="19"/>
      <c r="I127" s="24" t="s">
        <v>807</v>
      </c>
      <c r="J127" s="18"/>
      <c r="K127" s="18"/>
      <c r="L127" s="19"/>
      <c r="M127" s="22" t="str">
        <f t="shared" si="16"/>
        <v>Público Pendente</v>
      </c>
      <c r="N127" s="25"/>
    </row>
    <row r="128" ht="15.75" customHeight="1">
      <c r="A128" s="25"/>
      <c r="C128" s="14"/>
      <c r="N128" s="25"/>
    </row>
    <row r="129" ht="15.75" customHeight="1">
      <c r="A129" s="25"/>
      <c r="C129" s="14"/>
      <c r="N129" s="25"/>
    </row>
    <row r="130" ht="15.75" customHeight="1">
      <c r="A130" s="25"/>
      <c r="B130" s="26" t="s">
        <v>808</v>
      </c>
      <c r="N130" s="25"/>
    </row>
    <row r="131" ht="15.75" customHeight="1">
      <c r="A131" s="25"/>
      <c r="N131" s="25"/>
    </row>
    <row r="132" ht="15.75" customHeight="1">
      <c r="A132" s="25"/>
      <c r="N132" s="25"/>
    </row>
    <row r="133" ht="15.75" customHeight="1">
      <c r="A133" s="25"/>
      <c r="C133" s="14"/>
      <c r="N133" s="25"/>
    </row>
    <row r="134" ht="15.75" customHeight="1">
      <c r="A134" s="25"/>
      <c r="B134" s="27"/>
      <c r="C134" s="27" t="s">
        <v>4</v>
      </c>
      <c r="D134" s="28" t="s">
        <v>5</v>
      </c>
      <c r="E134" s="18"/>
      <c r="F134" s="18"/>
      <c r="G134" s="18"/>
      <c r="H134" s="19"/>
      <c r="I134" s="29" t="s">
        <v>6</v>
      </c>
      <c r="J134" s="18"/>
      <c r="K134" s="18"/>
      <c r="L134" s="19"/>
      <c r="M134" s="27" t="s">
        <v>7</v>
      </c>
      <c r="N134" s="25"/>
    </row>
    <row r="135" ht="15.75" customHeight="1">
      <c r="A135" s="25"/>
      <c r="B135" s="59" t="b">
        <v>0</v>
      </c>
      <c r="C135" s="37">
        <v>1.0</v>
      </c>
      <c r="D135" s="38" t="s">
        <v>809</v>
      </c>
      <c r="E135" s="18"/>
      <c r="F135" s="18"/>
      <c r="G135" s="18"/>
      <c r="H135" s="19"/>
      <c r="I135" s="39" t="s">
        <v>754</v>
      </c>
      <c r="J135" s="18"/>
      <c r="K135" s="18"/>
      <c r="L135" s="19"/>
      <c r="M135" s="40" t="str">
        <f t="shared" ref="M135:M139" si="17">IF(B135=TRUE,"Público Criado","Público Pendente")</f>
        <v>Público Pendente</v>
      </c>
      <c r="N135" s="25"/>
    </row>
    <row r="136" ht="15.75" customHeight="1">
      <c r="A136" s="25"/>
      <c r="B136" s="63" t="b">
        <v>0</v>
      </c>
      <c r="C136" s="64">
        <v>2.0</v>
      </c>
      <c r="D136" s="65" t="s">
        <v>810</v>
      </c>
      <c r="E136" s="11"/>
      <c r="F136" s="11"/>
      <c r="G136" s="11"/>
      <c r="H136" s="12"/>
      <c r="I136" s="66" t="s">
        <v>759</v>
      </c>
      <c r="J136" s="11"/>
      <c r="K136" s="11"/>
      <c r="L136" s="12"/>
      <c r="M136" s="67" t="str">
        <f t="shared" si="17"/>
        <v>Público Pendente</v>
      </c>
      <c r="N136" s="25"/>
    </row>
    <row r="137" ht="15.75" customHeight="1">
      <c r="A137" s="25"/>
      <c r="B137" s="63" t="b">
        <v>0</v>
      </c>
      <c r="C137" s="64">
        <v>3.0</v>
      </c>
      <c r="D137" s="65" t="s">
        <v>811</v>
      </c>
      <c r="E137" s="11"/>
      <c r="F137" s="11"/>
      <c r="G137" s="11"/>
      <c r="H137" s="12"/>
      <c r="I137" s="66" t="s">
        <v>761</v>
      </c>
      <c r="J137" s="11"/>
      <c r="K137" s="11"/>
      <c r="L137" s="12"/>
      <c r="M137" s="67" t="str">
        <f t="shared" si="17"/>
        <v>Público Pendente</v>
      </c>
      <c r="N137" s="25"/>
    </row>
    <row r="138" ht="15.75" customHeight="1">
      <c r="A138" s="25"/>
      <c r="B138" s="63" t="b">
        <v>0</v>
      </c>
      <c r="C138" s="64">
        <v>4.0</v>
      </c>
      <c r="D138" s="65" t="s">
        <v>812</v>
      </c>
      <c r="E138" s="11"/>
      <c r="F138" s="11"/>
      <c r="G138" s="11"/>
      <c r="H138" s="12"/>
      <c r="I138" s="66" t="s">
        <v>765</v>
      </c>
      <c r="J138" s="11"/>
      <c r="K138" s="11"/>
      <c r="L138" s="12"/>
      <c r="M138" s="67" t="str">
        <f t="shared" si="17"/>
        <v>Público Pendente</v>
      </c>
      <c r="N138" s="25"/>
    </row>
    <row r="139" ht="15.75" customHeight="1">
      <c r="A139" s="25"/>
      <c r="B139" s="63" t="b">
        <v>0</v>
      </c>
      <c r="C139" s="64">
        <v>5.0</v>
      </c>
      <c r="D139" s="65" t="s">
        <v>813</v>
      </c>
      <c r="E139" s="11"/>
      <c r="F139" s="11"/>
      <c r="G139" s="11"/>
      <c r="H139" s="12"/>
      <c r="I139" s="66" t="s">
        <v>770</v>
      </c>
      <c r="J139" s="11"/>
      <c r="K139" s="11"/>
      <c r="L139" s="12"/>
      <c r="M139" s="67" t="str">
        <f t="shared" si="17"/>
        <v>Público Pendente</v>
      </c>
      <c r="N139" s="25"/>
    </row>
    <row r="140" ht="15.75" customHeight="1">
      <c r="A140" s="25"/>
      <c r="B140" s="2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5"/>
    </row>
    <row r="141" ht="15.75" customHeight="1">
      <c r="A141" s="25"/>
      <c r="B141" s="63" t="b">
        <v>0</v>
      </c>
      <c r="C141" s="64">
        <v>1.0</v>
      </c>
      <c r="D141" s="65" t="s">
        <v>814</v>
      </c>
      <c r="E141" s="11"/>
      <c r="F141" s="11"/>
      <c r="G141" s="11"/>
      <c r="H141" s="12"/>
      <c r="I141" s="66" t="s">
        <v>775</v>
      </c>
      <c r="J141" s="11"/>
      <c r="K141" s="11"/>
      <c r="L141" s="12"/>
      <c r="M141" s="67" t="str">
        <f t="shared" ref="M141:M145" si="18">IF(B141=TRUE,"Público Criado","Público Pendente")</f>
        <v>Público Pendente</v>
      </c>
      <c r="N141" s="25"/>
    </row>
    <row r="142" ht="15.75" customHeight="1">
      <c r="A142" s="25"/>
      <c r="B142" s="63" t="b">
        <v>0</v>
      </c>
      <c r="C142" s="64">
        <v>2.0</v>
      </c>
      <c r="D142" s="65" t="s">
        <v>815</v>
      </c>
      <c r="E142" s="11"/>
      <c r="F142" s="11"/>
      <c r="G142" s="11"/>
      <c r="H142" s="12"/>
      <c r="I142" s="66" t="s">
        <v>779</v>
      </c>
      <c r="J142" s="11"/>
      <c r="K142" s="11"/>
      <c r="L142" s="12"/>
      <c r="M142" s="67" t="str">
        <f t="shared" si="18"/>
        <v>Público Pendente</v>
      </c>
      <c r="N142" s="25"/>
    </row>
    <row r="143" ht="15.75" customHeight="1">
      <c r="A143" s="25"/>
      <c r="B143" s="63" t="b">
        <v>0</v>
      </c>
      <c r="C143" s="64">
        <v>3.0</v>
      </c>
      <c r="D143" s="65" t="s">
        <v>816</v>
      </c>
      <c r="E143" s="11"/>
      <c r="F143" s="11"/>
      <c r="G143" s="11"/>
      <c r="H143" s="12"/>
      <c r="I143" s="66" t="s">
        <v>783</v>
      </c>
      <c r="J143" s="11"/>
      <c r="K143" s="11"/>
      <c r="L143" s="12"/>
      <c r="M143" s="67" t="str">
        <f t="shared" si="18"/>
        <v>Público Pendente</v>
      </c>
      <c r="N143" s="25"/>
    </row>
    <row r="144" ht="15.75" customHeight="1">
      <c r="A144" s="25"/>
      <c r="B144" s="63" t="b">
        <v>0</v>
      </c>
      <c r="C144" s="64">
        <v>4.0</v>
      </c>
      <c r="D144" s="65" t="s">
        <v>817</v>
      </c>
      <c r="E144" s="11"/>
      <c r="F144" s="11"/>
      <c r="G144" s="11"/>
      <c r="H144" s="12"/>
      <c r="I144" s="66" t="s">
        <v>785</v>
      </c>
      <c r="J144" s="11"/>
      <c r="K144" s="11"/>
      <c r="L144" s="12"/>
      <c r="M144" s="67" t="str">
        <f t="shared" si="18"/>
        <v>Público Pendente</v>
      </c>
      <c r="N144" s="25"/>
    </row>
    <row r="145" ht="15.75" customHeight="1">
      <c r="A145" s="25"/>
      <c r="B145" s="63" t="b">
        <v>0</v>
      </c>
      <c r="C145" s="64">
        <v>5.0</v>
      </c>
      <c r="D145" s="65" t="s">
        <v>818</v>
      </c>
      <c r="E145" s="11"/>
      <c r="F145" s="11"/>
      <c r="G145" s="11"/>
      <c r="H145" s="12"/>
      <c r="I145" s="66" t="s">
        <v>787</v>
      </c>
      <c r="J145" s="11"/>
      <c r="K145" s="11"/>
      <c r="L145" s="12"/>
      <c r="M145" s="67" t="str">
        <f t="shared" si="18"/>
        <v>Público Pendente</v>
      </c>
      <c r="N145" s="25"/>
    </row>
    <row r="146" ht="15.75" customHeight="1">
      <c r="A146" s="25"/>
      <c r="B146" s="2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5"/>
    </row>
    <row r="147" ht="15.75" customHeight="1">
      <c r="A147" s="35"/>
      <c r="B147" s="59" t="b">
        <v>0</v>
      </c>
      <c r="C147" s="37">
        <v>1.0</v>
      </c>
      <c r="D147" s="38" t="s">
        <v>819</v>
      </c>
      <c r="E147" s="18"/>
      <c r="F147" s="18"/>
      <c r="G147" s="18"/>
      <c r="H147" s="19"/>
      <c r="I147" s="39" t="s">
        <v>789</v>
      </c>
      <c r="J147" s="18"/>
      <c r="K147" s="18"/>
      <c r="L147" s="19"/>
      <c r="M147" s="40" t="str">
        <f t="shared" ref="M147:M151" si="19">IF(B147=TRUE,"Público Criado","Público Pendente")</f>
        <v>Público Pendente</v>
      </c>
      <c r="N147" s="41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</row>
    <row r="148" ht="15.75" customHeight="1">
      <c r="A148" s="35"/>
      <c r="B148" s="63" t="b">
        <v>0</v>
      </c>
      <c r="C148" s="64">
        <v>2.0</v>
      </c>
      <c r="D148" s="65" t="s">
        <v>820</v>
      </c>
      <c r="E148" s="11"/>
      <c r="F148" s="11"/>
      <c r="G148" s="11"/>
      <c r="H148" s="12"/>
      <c r="I148" s="66" t="s">
        <v>791</v>
      </c>
      <c r="J148" s="11"/>
      <c r="K148" s="11"/>
      <c r="L148" s="12"/>
      <c r="M148" s="67" t="str">
        <f t="shared" si="19"/>
        <v>Público Pendente</v>
      </c>
      <c r="N148" s="41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</row>
    <row r="149" ht="15.75" customHeight="1">
      <c r="A149" s="35"/>
      <c r="B149" s="63" t="b">
        <v>0</v>
      </c>
      <c r="C149" s="64">
        <v>3.0</v>
      </c>
      <c r="D149" s="65" t="s">
        <v>821</v>
      </c>
      <c r="E149" s="11"/>
      <c r="F149" s="11"/>
      <c r="G149" s="11"/>
      <c r="H149" s="12"/>
      <c r="I149" s="66" t="s">
        <v>793</v>
      </c>
      <c r="J149" s="11"/>
      <c r="K149" s="11"/>
      <c r="L149" s="12"/>
      <c r="M149" s="67" t="str">
        <f t="shared" si="19"/>
        <v>Público Pendente</v>
      </c>
      <c r="N149" s="41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</row>
    <row r="150" ht="15.75" customHeight="1">
      <c r="A150" s="35"/>
      <c r="B150" s="63" t="b">
        <v>0</v>
      </c>
      <c r="C150" s="64">
        <v>4.0</v>
      </c>
      <c r="D150" s="65" t="s">
        <v>822</v>
      </c>
      <c r="E150" s="11"/>
      <c r="F150" s="11"/>
      <c r="G150" s="11"/>
      <c r="H150" s="12"/>
      <c r="I150" s="66" t="s">
        <v>795</v>
      </c>
      <c r="J150" s="11"/>
      <c r="K150" s="11"/>
      <c r="L150" s="12"/>
      <c r="M150" s="67" t="str">
        <f t="shared" si="19"/>
        <v>Público Pendente</v>
      </c>
      <c r="N150" s="41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</row>
    <row r="151" ht="15.75" customHeight="1">
      <c r="A151" s="35"/>
      <c r="B151" s="63" t="b">
        <v>0</v>
      </c>
      <c r="C151" s="64">
        <v>5.0</v>
      </c>
      <c r="D151" s="65" t="s">
        <v>823</v>
      </c>
      <c r="E151" s="11"/>
      <c r="F151" s="11"/>
      <c r="G151" s="11"/>
      <c r="H151" s="12"/>
      <c r="I151" s="66" t="s">
        <v>797</v>
      </c>
      <c r="J151" s="11"/>
      <c r="K151" s="11"/>
      <c r="L151" s="12"/>
      <c r="M151" s="67" t="str">
        <f t="shared" si="19"/>
        <v>Público Pendente</v>
      </c>
      <c r="N151" s="41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</row>
    <row r="152" ht="15.75" customHeight="1">
      <c r="A152" s="35"/>
      <c r="B152" s="2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41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</row>
    <row r="153" ht="15.75" customHeight="1">
      <c r="A153" s="35"/>
      <c r="B153" s="63" t="b">
        <v>0</v>
      </c>
      <c r="C153" s="64">
        <v>1.0</v>
      </c>
      <c r="D153" s="65" t="s">
        <v>824</v>
      </c>
      <c r="E153" s="11"/>
      <c r="F153" s="11"/>
      <c r="G153" s="11"/>
      <c r="H153" s="12"/>
      <c r="I153" s="66" t="s">
        <v>799</v>
      </c>
      <c r="J153" s="11"/>
      <c r="K153" s="11"/>
      <c r="L153" s="12"/>
      <c r="M153" s="67" t="str">
        <f t="shared" ref="M153:M157" si="20">IF(B153=TRUE,"Público Criado","Público Pendente")</f>
        <v>Público Pendente</v>
      </c>
      <c r="N153" s="41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</row>
    <row r="154" ht="15.75" customHeight="1">
      <c r="A154" s="35"/>
      <c r="B154" s="63" t="b">
        <v>0</v>
      </c>
      <c r="C154" s="64">
        <v>2.0</v>
      </c>
      <c r="D154" s="65" t="s">
        <v>825</v>
      </c>
      <c r="E154" s="11"/>
      <c r="F154" s="11"/>
      <c r="G154" s="11"/>
      <c r="H154" s="12"/>
      <c r="I154" s="66" t="s">
        <v>801</v>
      </c>
      <c r="J154" s="11"/>
      <c r="K154" s="11"/>
      <c r="L154" s="12"/>
      <c r="M154" s="67" t="str">
        <f t="shared" si="20"/>
        <v>Público Pendente</v>
      </c>
      <c r="N154" s="41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</row>
    <row r="155" ht="15.75" customHeight="1">
      <c r="A155" s="35"/>
      <c r="B155" s="63" t="b">
        <v>0</v>
      </c>
      <c r="C155" s="64">
        <v>3.0</v>
      </c>
      <c r="D155" s="65" t="s">
        <v>826</v>
      </c>
      <c r="E155" s="11"/>
      <c r="F155" s="11"/>
      <c r="G155" s="11"/>
      <c r="H155" s="12"/>
      <c r="I155" s="66" t="s">
        <v>803</v>
      </c>
      <c r="J155" s="11"/>
      <c r="K155" s="11"/>
      <c r="L155" s="12"/>
      <c r="M155" s="67" t="str">
        <f t="shared" si="20"/>
        <v>Público Pendente</v>
      </c>
      <c r="N155" s="41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</row>
    <row r="156" ht="15.75" customHeight="1">
      <c r="A156" s="35"/>
      <c r="B156" s="63" t="b">
        <v>0</v>
      </c>
      <c r="C156" s="64">
        <v>4.0</v>
      </c>
      <c r="D156" s="65" t="s">
        <v>827</v>
      </c>
      <c r="E156" s="11"/>
      <c r="F156" s="11"/>
      <c r="G156" s="11"/>
      <c r="H156" s="12"/>
      <c r="I156" s="66" t="s">
        <v>805</v>
      </c>
      <c r="J156" s="11"/>
      <c r="K156" s="11"/>
      <c r="L156" s="12"/>
      <c r="M156" s="67" t="str">
        <f t="shared" si="20"/>
        <v>Público Pendente</v>
      </c>
      <c r="N156" s="41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</row>
    <row r="157" ht="15.75" customHeight="1">
      <c r="A157" s="35"/>
      <c r="B157" s="63" t="b">
        <v>0</v>
      </c>
      <c r="C157" s="64">
        <v>5.0</v>
      </c>
      <c r="D157" s="65" t="s">
        <v>828</v>
      </c>
      <c r="E157" s="11"/>
      <c r="F157" s="11"/>
      <c r="G157" s="11"/>
      <c r="H157" s="12"/>
      <c r="I157" s="66" t="s">
        <v>807</v>
      </c>
      <c r="J157" s="11"/>
      <c r="K157" s="11"/>
      <c r="L157" s="12"/>
      <c r="M157" s="67" t="str">
        <f t="shared" si="20"/>
        <v>Público Pendente</v>
      </c>
      <c r="N157" s="41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</row>
    <row r="158" ht="15.75" customHeight="1">
      <c r="A158" s="25"/>
      <c r="C158" s="14"/>
      <c r="N158" s="25"/>
    </row>
    <row r="159" ht="15.75" customHeight="1">
      <c r="A159" s="25"/>
      <c r="C159" s="14"/>
      <c r="N159" s="25"/>
    </row>
    <row r="160" ht="15.75" customHeight="1">
      <c r="A160" s="25"/>
      <c r="B160" s="26" t="s">
        <v>829</v>
      </c>
      <c r="N160" s="25"/>
    </row>
    <row r="161" ht="15.75" customHeight="1">
      <c r="A161" s="25"/>
      <c r="N161" s="25"/>
    </row>
    <row r="162" ht="15.75" customHeight="1">
      <c r="A162" s="25"/>
      <c r="N162" s="25"/>
    </row>
    <row r="163" ht="15.75" customHeight="1">
      <c r="A163" s="25"/>
      <c r="C163" s="14"/>
      <c r="N163" s="25"/>
    </row>
    <row r="164" ht="15.75" customHeight="1">
      <c r="A164" s="25"/>
      <c r="B164" s="27"/>
      <c r="C164" s="27" t="s">
        <v>4</v>
      </c>
      <c r="D164" s="28" t="s">
        <v>5</v>
      </c>
      <c r="E164" s="18"/>
      <c r="F164" s="18"/>
      <c r="G164" s="18"/>
      <c r="H164" s="19"/>
      <c r="I164" s="29" t="s">
        <v>6</v>
      </c>
      <c r="J164" s="18"/>
      <c r="K164" s="18"/>
      <c r="L164" s="19"/>
      <c r="M164" s="27" t="s">
        <v>7</v>
      </c>
      <c r="N164" s="25"/>
    </row>
    <row r="165" ht="15.75" customHeight="1">
      <c r="A165" s="25"/>
      <c r="B165" s="21" t="b">
        <v>0</v>
      </c>
      <c r="C165" s="22">
        <v>1.0</v>
      </c>
      <c r="D165" s="23" t="s">
        <v>830</v>
      </c>
      <c r="E165" s="18"/>
      <c r="F165" s="18"/>
      <c r="G165" s="18"/>
      <c r="H165" s="19"/>
      <c r="I165" s="24" t="s">
        <v>754</v>
      </c>
      <c r="J165" s="18"/>
      <c r="K165" s="18"/>
      <c r="L165" s="19"/>
      <c r="M165" s="22" t="str">
        <f t="shared" ref="M165:M169" si="21">IF(B165=TRUE,"Público Criado","Público Pendente")</f>
        <v>Público Pendente</v>
      </c>
      <c r="N165" s="25"/>
    </row>
    <row r="166" ht="15.75" customHeight="1">
      <c r="A166" s="25"/>
      <c r="B166" s="21" t="b">
        <v>0</v>
      </c>
      <c r="C166" s="22">
        <v>2.0</v>
      </c>
      <c r="D166" s="23" t="s">
        <v>831</v>
      </c>
      <c r="E166" s="18"/>
      <c r="F166" s="18"/>
      <c r="G166" s="18"/>
      <c r="H166" s="19"/>
      <c r="I166" s="24" t="s">
        <v>759</v>
      </c>
      <c r="J166" s="18"/>
      <c r="K166" s="18"/>
      <c r="L166" s="19"/>
      <c r="M166" s="22" t="str">
        <f t="shared" si="21"/>
        <v>Público Pendente</v>
      </c>
      <c r="N166" s="25"/>
    </row>
    <row r="167" ht="15.75" customHeight="1">
      <c r="A167" s="25"/>
      <c r="B167" s="21" t="b">
        <v>0</v>
      </c>
      <c r="C167" s="22">
        <v>3.0</v>
      </c>
      <c r="D167" s="23" t="s">
        <v>832</v>
      </c>
      <c r="E167" s="18"/>
      <c r="F167" s="18"/>
      <c r="G167" s="18"/>
      <c r="H167" s="19"/>
      <c r="I167" s="24" t="s">
        <v>761</v>
      </c>
      <c r="J167" s="18"/>
      <c r="K167" s="18"/>
      <c r="L167" s="19"/>
      <c r="M167" s="22" t="str">
        <f t="shared" si="21"/>
        <v>Público Pendente</v>
      </c>
      <c r="N167" s="25"/>
    </row>
    <row r="168" ht="15.75" customHeight="1">
      <c r="A168" s="25"/>
      <c r="B168" s="21" t="b">
        <v>0</v>
      </c>
      <c r="C168" s="22">
        <v>4.0</v>
      </c>
      <c r="D168" s="23" t="s">
        <v>833</v>
      </c>
      <c r="E168" s="18"/>
      <c r="F168" s="18"/>
      <c r="G168" s="18"/>
      <c r="H168" s="19"/>
      <c r="I168" s="24" t="s">
        <v>765</v>
      </c>
      <c r="J168" s="18"/>
      <c r="K168" s="18"/>
      <c r="L168" s="19"/>
      <c r="M168" s="22" t="str">
        <f t="shared" si="21"/>
        <v>Público Pendente</v>
      </c>
      <c r="N168" s="25"/>
    </row>
    <row r="169" ht="15.75" customHeight="1">
      <c r="A169" s="25"/>
      <c r="B169" s="21" t="b">
        <v>0</v>
      </c>
      <c r="C169" s="22">
        <v>5.0</v>
      </c>
      <c r="D169" s="23" t="s">
        <v>834</v>
      </c>
      <c r="E169" s="18"/>
      <c r="F169" s="18"/>
      <c r="G169" s="18"/>
      <c r="H169" s="19"/>
      <c r="I169" s="24" t="s">
        <v>770</v>
      </c>
      <c r="J169" s="18"/>
      <c r="K169" s="18"/>
      <c r="L169" s="19"/>
      <c r="M169" s="22" t="str">
        <f t="shared" si="21"/>
        <v>Público Pendente</v>
      </c>
      <c r="N169" s="25"/>
    </row>
    <row r="170" ht="15.75" customHeight="1">
      <c r="A170" s="25"/>
      <c r="B170" s="2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5"/>
    </row>
    <row r="171" ht="15.75" customHeight="1">
      <c r="A171" s="25"/>
      <c r="B171" s="21" t="b">
        <v>0</v>
      </c>
      <c r="C171" s="22">
        <v>1.0</v>
      </c>
      <c r="D171" s="23" t="s">
        <v>835</v>
      </c>
      <c r="E171" s="18"/>
      <c r="F171" s="18"/>
      <c r="G171" s="18"/>
      <c r="H171" s="19"/>
      <c r="I171" s="24" t="s">
        <v>775</v>
      </c>
      <c r="J171" s="18"/>
      <c r="K171" s="18"/>
      <c r="L171" s="19"/>
      <c r="M171" s="22" t="str">
        <f t="shared" ref="M171:M175" si="22">IF(B171=TRUE,"Público Criado","Público Pendente")</f>
        <v>Público Pendente</v>
      </c>
      <c r="N171" s="25"/>
    </row>
    <row r="172" ht="15.75" customHeight="1">
      <c r="A172" s="25"/>
      <c r="B172" s="21" t="b">
        <v>0</v>
      </c>
      <c r="C172" s="22">
        <v>2.0</v>
      </c>
      <c r="D172" s="23" t="s">
        <v>836</v>
      </c>
      <c r="E172" s="18"/>
      <c r="F172" s="18"/>
      <c r="G172" s="18"/>
      <c r="H172" s="19"/>
      <c r="I172" s="24" t="s">
        <v>779</v>
      </c>
      <c r="J172" s="18"/>
      <c r="K172" s="18"/>
      <c r="L172" s="19"/>
      <c r="M172" s="22" t="str">
        <f t="shared" si="22"/>
        <v>Público Pendente</v>
      </c>
      <c r="N172" s="25"/>
    </row>
    <row r="173" ht="15.75" customHeight="1">
      <c r="A173" s="25"/>
      <c r="B173" s="21" t="b">
        <v>0</v>
      </c>
      <c r="C173" s="22">
        <v>3.0</v>
      </c>
      <c r="D173" s="23" t="s">
        <v>837</v>
      </c>
      <c r="E173" s="18"/>
      <c r="F173" s="18"/>
      <c r="G173" s="18"/>
      <c r="H173" s="19"/>
      <c r="I173" s="24" t="s">
        <v>783</v>
      </c>
      <c r="J173" s="18"/>
      <c r="K173" s="18"/>
      <c r="L173" s="19"/>
      <c r="M173" s="22" t="str">
        <f t="shared" si="22"/>
        <v>Público Pendente</v>
      </c>
      <c r="N173" s="25"/>
    </row>
    <row r="174" ht="15.75" customHeight="1">
      <c r="A174" s="25"/>
      <c r="B174" s="21" t="b">
        <v>0</v>
      </c>
      <c r="C174" s="22">
        <v>4.0</v>
      </c>
      <c r="D174" s="23" t="s">
        <v>838</v>
      </c>
      <c r="E174" s="18"/>
      <c r="F174" s="18"/>
      <c r="G174" s="18"/>
      <c r="H174" s="19"/>
      <c r="I174" s="24" t="s">
        <v>785</v>
      </c>
      <c r="J174" s="18"/>
      <c r="K174" s="18"/>
      <c r="L174" s="19"/>
      <c r="M174" s="22" t="str">
        <f t="shared" si="22"/>
        <v>Público Pendente</v>
      </c>
      <c r="N174" s="25"/>
    </row>
    <row r="175" ht="15.75" customHeight="1">
      <c r="A175" s="25"/>
      <c r="B175" s="21" t="b">
        <v>0</v>
      </c>
      <c r="C175" s="22">
        <v>5.0</v>
      </c>
      <c r="D175" s="23" t="s">
        <v>839</v>
      </c>
      <c r="E175" s="18"/>
      <c r="F175" s="18"/>
      <c r="G175" s="18"/>
      <c r="H175" s="19"/>
      <c r="I175" s="24" t="s">
        <v>787</v>
      </c>
      <c r="J175" s="18"/>
      <c r="K175" s="18"/>
      <c r="L175" s="19"/>
      <c r="M175" s="22" t="str">
        <f t="shared" si="22"/>
        <v>Público Pendente</v>
      </c>
      <c r="N175" s="25"/>
    </row>
    <row r="176" ht="15.75" customHeight="1">
      <c r="A176" s="25"/>
      <c r="B176" s="2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5"/>
    </row>
    <row r="177" ht="15.75" customHeight="1">
      <c r="A177" s="35"/>
      <c r="B177" s="21" t="b">
        <v>0</v>
      </c>
      <c r="C177" s="22">
        <v>1.0</v>
      </c>
      <c r="D177" s="23" t="s">
        <v>840</v>
      </c>
      <c r="E177" s="18"/>
      <c r="F177" s="18"/>
      <c r="G177" s="18"/>
      <c r="H177" s="19"/>
      <c r="I177" s="24" t="s">
        <v>789</v>
      </c>
      <c r="J177" s="18"/>
      <c r="K177" s="18"/>
      <c r="L177" s="19"/>
      <c r="M177" s="22" t="str">
        <f t="shared" ref="M177:M181" si="23">IF(B177=TRUE,"Público Criado","Público Pendente")</f>
        <v>Público Pendente</v>
      </c>
      <c r="N177" s="41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</row>
    <row r="178" ht="15.75" customHeight="1">
      <c r="A178" s="35"/>
      <c r="B178" s="21" t="b">
        <v>0</v>
      </c>
      <c r="C178" s="22">
        <v>2.0</v>
      </c>
      <c r="D178" s="23" t="s">
        <v>841</v>
      </c>
      <c r="E178" s="18"/>
      <c r="F178" s="18"/>
      <c r="G178" s="18"/>
      <c r="H178" s="19"/>
      <c r="I178" s="24" t="s">
        <v>791</v>
      </c>
      <c r="J178" s="18"/>
      <c r="K178" s="18"/>
      <c r="L178" s="19"/>
      <c r="M178" s="22" t="str">
        <f t="shared" si="23"/>
        <v>Público Pendente</v>
      </c>
      <c r="N178" s="41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</row>
    <row r="179" ht="15.75" customHeight="1">
      <c r="A179" s="35"/>
      <c r="B179" s="21" t="b">
        <v>0</v>
      </c>
      <c r="C179" s="22">
        <v>3.0</v>
      </c>
      <c r="D179" s="23" t="s">
        <v>842</v>
      </c>
      <c r="E179" s="18"/>
      <c r="F179" s="18"/>
      <c r="G179" s="18"/>
      <c r="H179" s="19"/>
      <c r="I179" s="24" t="s">
        <v>793</v>
      </c>
      <c r="J179" s="18"/>
      <c r="K179" s="18"/>
      <c r="L179" s="19"/>
      <c r="M179" s="22" t="str">
        <f t="shared" si="23"/>
        <v>Público Pendente</v>
      </c>
      <c r="N179" s="41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</row>
    <row r="180" ht="15.75" customHeight="1">
      <c r="A180" s="35"/>
      <c r="B180" s="21" t="b">
        <v>0</v>
      </c>
      <c r="C180" s="22">
        <v>4.0</v>
      </c>
      <c r="D180" s="23" t="s">
        <v>843</v>
      </c>
      <c r="E180" s="18"/>
      <c r="F180" s="18"/>
      <c r="G180" s="18"/>
      <c r="H180" s="19"/>
      <c r="I180" s="24" t="s">
        <v>795</v>
      </c>
      <c r="J180" s="18"/>
      <c r="K180" s="18"/>
      <c r="L180" s="19"/>
      <c r="M180" s="22" t="str">
        <f t="shared" si="23"/>
        <v>Público Pendente</v>
      </c>
      <c r="N180" s="41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</row>
    <row r="181" ht="15.75" customHeight="1">
      <c r="A181" s="35"/>
      <c r="B181" s="21" t="b">
        <v>0</v>
      </c>
      <c r="C181" s="22">
        <v>5.0</v>
      </c>
      <c r="D181" s="23" t="s">
        <v>844</v>
      </c>
      <c r="E181" s="18"/>
      <c r="F181" s="18"/>
      <c r="G181" s="18"/>
      <c r="H181" s="19"/>
      <c r="I181" s="24" t="s">
        <v>797</v>
      </c>
      <c r="J181" s="18"/>
      <c r="K181" s="18"/>
      <c r="L181" s="19"/>
      <c r="M181" s="22" t="str">
        <f t="shared" si="23"/>
        <v>Público Pendente</v>
      </c>
      <c r="N181" s="41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</row>
    <row r="182" ht="15.75" customHeight="1">
      <c r="A182" s="35"/>
      <c r="B182" s="2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41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</row>
    <row r="183" ht="15.75" customHeight="1">
      <c r="A183" s="35"/>
      <c r="B183" s="21" t="b">
        <v>0</v>
      </c>
      <c r="C183" s="22">
        <v>1.0</v>
      </c>
      <c r="D183" s="23" t="s">
        <v>845</v>
      </c>
      <c r="E183" s="18"/>
      <c r="F183" s="18"/>
      <c r="G183" s="18"/>
      <c r="H183" s="19"/>
      <c r="I183" s="24" t="s">
        <v>799</v>
      </c>
      <c r="J183" s="18"/>
      <c r="K183" s="18"/>
      <c r="L183" s="19"/>
      <c r="M183" s="22" t="str">
        <f t="shared" ref="M183:M187" si="24">IF(B183=TRUE,"Público Criado","Público Pendente")</f>
        <v>Público Pendente</v>
      </c>
      <c r="N183" s="41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</row>
    <row r="184" ht="15.75" customHeight="1">
      <c r="A184" s="35"/>
      <c r="B184" s="21" t="b">
        <v>0</v>
      </c>
      <c r="C184" s="22">
        <v>2.0</v>
      </c>
      <c r="D184" s="23" t="s">
        <v>846</v>
      </c>
      <c r="E184" s="18"/>
      <c r="F184" s="18"/>
      <c r="G184" s="18"/>
      <c r="H184" s="19"/>
      <c r="I184" s="24" t="s">
        <v>801</v>
      </c>
      <c r="J184" s="18"/>
      <c r="K184" s="18"/>
      <c r="L184" s="19"/>
      <c r="M184" s="22" t="str">
        <f t="shared" si="24"/>
        <v>Público Pendente</v>
      </c>
      <c r="N184" s="41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</row>
    <row r="185" ht="15.75" customHeight="1">
      <c r="A185" s="35"/>
      <c r="B185" s="21" t="b">
        <v>0</v>
      </c>
      <c r="C185" s="22">
        <v>3.0</v>
      </c>
      <c r="D185" s="23" t="s">
        <v>847</v>
      </c>
      <c r="E185" s="18"/>
      <c r="F185" s="18"/>
      <c r="G185" s="18"/>
      <c r="H185" s="19"/>
      <c r="I185" s="24" t="s">
        <v>803</v>
      </c>
      <c r="J185" s="18"/>
      <c r="K185" s="18"/>
      <c r="L185" s="19"/>
      <c r="M185" s="22" t="str">
        <f t="shared" si="24"/>
        <v>Público Pendente</v>
      </c>
      <c r="N185" s="41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</row>
    <row r="186" ht="15.75" customHeight="1">
      <c r="A186" s="35"/>
      <c r="B186" s="21" t="b">
        <v>0</v>
      </c>
      <c r="C186" s="22">
        <v>4.0</v>
      </c>
      <c r="D186" s="23" t="s">
        <v>848</v>
      </c>
      <c r="E186" s="18"/>
      <c r="F186" s="18"/>
      <c r="G186" s="18"/>
      <c r="H186" s="19"/>
      <c r="I186" s="24" t="s">
        <v>805</v>
      </c>
      <c r="J186" s="18"/>
      <c r="K186" s="18"/>
      <c r="L186" s="19"/>
      <c r="M186" s="22" t="str">
        <f t="shared" si="24"/>
        <v>Público Pendente</v>
      </c>
      <c r="N186" s="41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</row>
    <row r="187" ht="15.75" customHeight="1">
      <c r="A187" s="35"/>
      <c r="B187" s="21" t="b">
        <v>0</v>
      </c>
      <c r="C187" s="22">
        <v>5.0</v>
      </c>
      <c r="D187" s="23" t="s">
        <v>849</v>
      </c>
      <c r="E187" s="18"/>
      <c r="F187" s="18"/>
      <c r="G187" s="18"/>
      <c r="H187" s="19"/>
      <c r="I187" s="24" t="s">
        <v>807</v>
      </c>
      <c r="J187" s="18"/>
      <c r="K187" s="18"/>
      <c r="L187" s="19"/>
      <c r="M187" s="22" t="str">
        <f t="shared" si="24"/>
        <v>Público Pendente</v>
      </c>
      <c r="N187" s="41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</row>
    <row r="188" ht="15.75" customHeight="1">
      <c r="A188" s="25"/>
      <c r="B188" s="60"/>
      <c r="C188" s="14"/>
      <c r="N188" s="25"/>
    </row>
    <row r="189" ht="15.75" customHeight="1">
      <c r="A189" s="25"/>
      <c r="C189" s="14"/>
      <c r="N189" s="25"/>
    </row>
    <row r="190" ht="15.75" customHeight="1">
      <c r="A190" s="30"/>
      <c r="B190" s="31" t="s">
        <v>850</v>
      </c>
      <c r="N190" s="30"/>
    </row>
    <row r="191" ht="15.75" customHeight="1">
      <c r="A191" s="30"/>
      <c r="N191" s="30"/>
    </row>
    <row r="192" ht="15.75" customHeight="1">
      <c r="A192" s="30"/>
      <c r="N192" s="30"/>
    </row>
    <row r="193" ht="15.75" customHeight="1">
      <c r="A193" s="30"/>
      <c r="C193" s="14"/>
      <c r="N193" s="30"/>
    </row>
    <row r="194" ht="15.75" customHeight="1">
      <c r="A194" s="30"/>
      <c r="B194" s="32"/>
      <c r="C194" s="32" t="s">
        <v>4</v>
      </c>
      <c r="D194" s="33" t="s">
        <v>5</v>
      </c>
      <c r="E194" s="18"/>
      <c r="F194" s="18"/>
      <c r="G194" s="18"/>
      <c r="H194" s="19"/>
      <c r="I194" s="34" t="s">
        <v>6</v>
      </c>
      <c r="J194" s="18"/>
      <c r="K194" s="18"/>
      <c r="L194" s="19"/>
      <c r="M194" s="32" t="s">
        <v>7</v>
      </c>
      <c r="N194" s="30"/>
    </row>
    <row r="195" ht="15.75" customHeight="1">
      <c r="A195" s="30"/>
      <c r="B195" s="21" t="b">
        <v>0</v>
      </c>
      <c r="C195" s="22">
        <v>1.0</v>
      </c>
      <c r="D195" s="23" t="s">
        <v>851</v>
      </c>
      <c r="E195" s="18"/>
      <c r="F195" s="18"/>
      <c r="G195" s="18"/>
      <c r="H195" s="19"/>
      <c r="I195" s="24" t="s">
        <v>852</v>
      </c>
      <c r="J195" s="18"/>
      <c r="K195" s="18"/>
      <c r="L195" s="19"/>
      <c r="M195" s="22" t="str">
        <f t="shared" ref="M195:M199" si="25">IF(B195=TRUE,"Público Criado","Público Pendente")</f>
        <v>Público Pendente</v>
      </c>
      <c r="N195" s="30"/>
    </row>
    <row r="196" ht="15.75" customHeight="1">
      <c r="A196" s="30"/>
      <c r="B196" s="21" t="b">
        <v>0</v>
      </c>
      <c r="C196" s="22">
        <v>2.0</v>
      </c>
      <c r="D196" s="23" t="s">
        <v>853</v>
      </c>
      <c r="E196" s="18"/>
      <c r="F196" s="18"/>
      <c r="G196" s="18"/>
      <c r="H196" s="19"/>
      <c r="I196" s="24" t="s">
        <v>854</v>
      </c>
      <c r="J196" s="18"/>
      <c r="K196" s="18"/>
      <c r="L196" s="19"/>
      <c r="M196" s="22" t="str">
        <f t="shared" si="25"/>
        <v>Público Pendente</v>
      </c>
      <c r="N196" s="30"/>
    </row>
    <row r="197" ht="15.75" customHeight="1">
      <c r="A197" s="30"/>
      <c r="B197" s="21" t="b">
        <v>0</v>
      </c>
      <c r="C197" s="22">
        <v>3.0</v>
      </c>
      <c r="D197" s="23" t="s">
        <v>855</v>
      </c>
      <c r="E197" s="18"/>
      <c r="F197" s="18"/>
      <c r="G197" s="18"/>
      <c r="H197" s="19"/>
      <c r="I197" s="24" t="s">
        <v>856</v>
      </c>
      <c r="J197" s="18"/>
      <c r="K197" s="18"/>
      <c r="L197" s="19"/>
      <c r="M197" s="22" t="str">
        <f t="shared" si="25"/>
        <v>Público Pendente</v>
      </c>
      <c r="N197" s="30"/>
    </row>
    <row r="198" ht="15.75" customHeight="1">
      <c r="A198" s="30"/>
      <c r="B198" s="21" t="b">
        <v>0</v>
      </c>
      <c r="C198" s="22">
        <v>4.0</v>
      </c>
      <c r="D198" s="23" t="s">
        <v>857</v>
      </c>
      <c r="E198" s="18"/>
      <c r="F198" s="18"/>
      <c r="G198" s="18"/>
      <c r="H198" s="19"/>
      <c r="I198" s="24" t="s">
        <v>858</v>
      </c>
      <c r="J198" s="18"/>
      <c r="K198" s="18"/>
      <c r="L198" s="19"/>
      <c r="M198" s="22" t="str">
        <f t="shared" si="25"/>
        <v>Público Pendente</v>
      </c>
      <c r="N198" s="30"/>
    </row>
    <row r="199" ht="15.75" customHeight="1">
      <c r="A199" s="30"/>
      <c r="B199" s="21" t="b">
        <v>0</v>
      </c>
      <c r="C199" s="22">
        <v>5.0</v>
      </c>
      <c r="D199" s="23" t="s">
        <v>859</v>
      </c>
      <c r="E199" s="18"/>
      <c r="F199" s="18"/>
      <c r="G199" s="18"/>
      <c r="H199" s="19"/>
      <c r="I199" s="24" t="s">
        <v>860</v>
      </c>
      <c r="J199" s="18"/>
      <c r="K199" s="18"/>
      <c r="L199" s="19"/>
      <c r="M199" s="22" t="str">
        <f t="shared" si="25"/>
        <v>Público Pendente</v>
      </c>
      <c r="N199" s="30"/>
    </row>
    <row r="200" ht="15.75" customHeight="1">
      <c r="A200" s="30"/>
      <c r="B200" s="33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30"/>
    </row>
    <row r="201" ht="15.75" customHeight="1">
      <c r="A201" s="30"/>
      <c r="B201" s="21" t="b">
        <v>0</v>
      </c>
      <c r="C201" s="22">
        <v>1.0</v>
      </c>
      <c r="D201" s="23" t="s">
        <v>861</v>
      </c>
      <c r="E201" s="18"/>
      <c r="F201" s="18"/>
      <c r="G201" s="18"/>
      <c r="H201" s="19"/>
      <c r="I201" s="24" t="s">
        <v>862</v>
      </c>
      <c r="J201" s="18"/>
      <c r="K201" s="18"/>
      <c r="L201" s="19"/>
      <c r="M201" s="22" t="str">
        <f t="shared" ref="M201:M205" si="26">IF(B201=TRUE,"Público Criado","Público Pendente")</f>
        <v>Público Pendente</v>
      </c>
      <c r="N201" s="30"/>
    </row>
    <row r="202" ht="15.75" customHeight="1">
      <c r="A202" s="30"/>
      <c r="B202" s="21" t="b">
        <v>0</v>
      </c>
      <c r="C202" s="22">
        <v>2.0</v>
      </c>
      <c r="D202" s="23" t="s">
        <v>863</v>
      </c>
      <c r="E202" s="18"/>
      <c r="F202" s="18"/>
      <c r="G202" s="18"/>
      <c r="H202" s="19"/>
      <c r="I202" s="24" t="s">
        <v>864</v>
      </c>
      <c r="J202" s="18"/>
      <c r="K202" s="18"/>
      <c r="L202" s="19"/>
      <c r="M202" s="22" t="str">
        <f t="shared" si="26"/>
        <v>Público Pendente</v>
      </c>
      <c r="N202" s="30"/>
    </row>
    <row r="203" ht="15.75" customHeight="1">
      <c r="A203" s="30"/>
      <c r="B203" s="21" t="b">
        <v>0</v>
      </c>
      <c r="C203" s="22">
        <v>3.0</v>
      </c>
      <c r="D203" s="23" t="s">
        <v>865</v>
      </c>
      <c r="E203" s="18"/>
      <c r="F203" s="18"/>
      <c r="G203" s="18"/>
      <c r="H203" s="19"/>
      <c r="I203" s="24" t="s">
        <v>866</v>
      </c>
      <c r="J203" s="18"/>
      <c r="K203" s="18"/>
      <c r="L203" s="19"/>
      <c r="M203" s="22" t="str">
        <f t="shared" si="26"/>
        <v>Público Pendente</v>
      </c>
      <c r="N203" s="30"/>
    </row>
    <row r="204" ht="15.75" customHeight="1">
      <c r="A204" s="30"/>
      <c r="B204" s="21" t="b">
        <v>0</v>
      </c>
      <c r="C204" s="22">
        <v>4.0</v>
      </c>
      <c r="D204" s="23" t="s">
        <v>867</v>
      </c>
      <c r="E204" s="18"/>
      <c r="F204" s="18"/>
      <c r="G204" s="18"/>
      <c r="H204" s="19"/>
      <c r="I204" s="24" t="s">
        <v>868</v>
      </c>
      <c r="J204" s="18"/>
      <c r="K204" s="18"/>
      <c r="L204" s="19"/>
      <c r="M204" s="22" t="str">
        <f t="shared" si="26"/>
        <v>Público Pendente</v>
      </c>
      <c r="N204" s="30"/>
    </row>
    <row r="205" ht="15.75" customHeight="1">
      <c r="A205" s="30"/>
      <c r="B205" s="21" t="b">
        <v>0</v>
      </c>
      <c r="C205" s="22">
        <v>5.0</v>
      </c>
      <c r="D205" s="23" t="s">
        <v>869</v>
      </c>
      <c r="E205" s="18"/>
      <c r="F205" s="18"/>
      <c r="G205" s="18"/>
      <c r="H205" s="19"/>
      <c r="I205" s="24" t="s">
        <v>870</v>
      </c>
      <c r="J205" s="18"/>
      <c r="K205" s="18"/>
      <c r="L205" s="19"/>
      <c r="M205" s="22" t="str">
        <f t="shared" si="26"/>
        <v>Público Pendente</v>
      </c>
      <c r="N205" s="30"/>
    </row>
    <row r="206" ht="15.75" customHeight="1">
      <c r="A206" s="30"/>
      <c r="B206" s="33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30"/>
    </row>
    <row r="207" ht="15.75" customHeight="1">
      <c r="A207" s="30"/>
      <c r="B207" s="21" t="b">
        <v>0</v>
      </c>
      <c r="C207" s="22">
        <v>1.0</v>
      </c>
      <c r="D207" s="23" t="s">
        <v>871</v>
      </c>
      <c r="E207" s="18"/>
      <c r="F207" s="18"/>
      <c r="G207" s="18"/>
      <c r="H207" s="19"/>
      <c r="I207" s="24" t="s">
        <v>872</v>
      </c>
      <c r="J207" s="18"/>
      <c r="K207" s="18"/>
      <c r="L207" s="19"/>
      <c r="M207" s="22" t="str">
        <f t="shared" ref="M207:M211" si="27">IF(B207=TRUE,"Público Criado","Público Pendente")</f>
        <v>Público Pendente</v>
      </c>
      <c r="N207" s="30"/>
    </row>
    <row r="208" ht="15.75" customHeight="1">
      <c r="A208" s="30"/>
      <c r="B208" s="21" t="b">
        <v>0</v>
      </c>
      <c r="C208" s="22">
        <v>2.0</v>
      </c>
      <c r="D208" s="23" t="s">
        <v>873</v>
      </c>
      <c r="E208" s="18"/>
      <c r="F208" s="18"/>
      <c r="G208" s="18"/>
      <c r="H208" s="19"/>
      <c r="I208" s="24" t="s">
        <v>874</v>
      </c>
      <c r="J208" s="18"/>
      <c r="K208" s="18"/>
      <c r="L208" s="19"/>
      <c r="M208" s="22" t="str">
        <f t="shared" si="27"/>
        <v>Público Pendente</v>
      </c>
      <c r="N208" s="30"/>
    </row>
    <row r="209" ht="15.75" customHeight="1">
      <c r="A209" s="30"/>
      <c r="B209" s="21" t="b">
        <v>0</v>
      </c>
      <c r="C209" s="22">
        <v>3.0</v>
      </c>
      <c r="D209" s="23" t="s">
        <v>875</v>
      </c>
      <c r="E209" s="18"/>
      <c r="F209" s="18"/>
      <c r="G209" s="18"/>
      <c r="H209" s="19"/>
      <c r="I209" s="24" t="s">
        <v>876</v>
      </c>
      <c r="J209" s="18"/>
      <c r="K209" s="18"/>
      <c r="L209" s="19"/>
      <c r="M209" s="22" t="str">
        <f t="shared" si="27"/>
        <v>Público Pendente</v>
      </c>
      <c r="N209" s="30"/>
    </row>
    <row r="210" ht="15.75" customHeight="1">
      <c r="A210" s="30"/>
      <c r="B210" s="21" t="b">
        <v>0</v>
      </c>
      <c r="C210" s="22">
        <v>4.0</v>
      </c>
      <c r="D210" s="23" t="s">
        <v>877</v>
      </c>
      <c r="E210" s="18"/>
      <c r="F210" s="18"/>
      <c r="G210" s="18"/>
      <c r="H210" s="19"/>
      <c r="I210" s="24" t="s">
        <v>878</v>
      </c>
      <c r="J210" s="18"/>
      <c r="K210" s="18"/>
      <c r="L210" s="19"/>
      <c r="M210" s="22" t="str">
        <f t="shared" si="27"/>
        <v>Público Pendente</v>
      </c>
      <c r="N210" s="30"/>
    </row>
    <row r="211" ht="15.75" customHeight="1">
      <c r="A211" s="30"/>
      <c r="B211" s="21" t="b">
        <v>0</v>
      </c>
      <c r="C211" s="22">
        <v>5.0</v>
      </c>
      <c r="D211" s="23" t="s">
        <v>879</v>
      </c>
      <c r="E211" s="18"/>
      <c r="F211" s="18"/>
      <c r="G211" s="18"/>
      <c r="H211" s="19"/>
      <c r="I211" s="24" t="s">
        <v>880</v>
      </c>
      <c r="J211" s="18"/>
      <c r="K211" s="18"/>
      <c r="L211" s="19"/>
      <c r="M211" s="22" t="str">
        <f t="shared" si="27"/>
        <v>Público Pendente</v>
      </c>
      <c r="N211" s="30"/>
    </row>
    <row r="212" ht="15.75" customHeight="1">
      <c r="A212" s="30"/>
      <c r="B212" s="33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30"/>
    </row>
    <row r="213" ht="15.75" customHeight="1">
      <c r="A213" s="30"/>
      <c r="B213" s="21" t="b">
        <v>0</v>
      </c>
      <c r="C213" s="22">
        <v>1.0</v>
      </c>
      <c r="D213" s="23" t="s">
        <v>851</v>
      </c>
      <c r="E213" s="18"/>
      <c r="F213" s="18"/>
      <c r="G213" s="18"/>
      <c r="H213" s="19"/>
      <c r="I213" s="24" t="s">
        <v>881</v>
      </c>
      <c r="J213" s="18"/>
      <c r="K213" s="18"/>
      <c r="L213" s="19"/>
      <c r="M213" s="22" t="str">
        <f t="shared" ref="M213:M217" si="28">IF(B213=TRUE,"Público Criado","Público Pendente")</f>
        <v>Público Pendente</v>
      </c>
      <c r="N213" s="30"/>
    </row>
    <row r="214" ht="15.75" customHeight="1">
      <c r="A214" s="30"/>
      <c r="B214" s="21" t="b">
        <v>0</v>
      </c>
      <c r="C214" s="22">
        <v>2.0</v>
      </c>
      <c r="D214" s="23" t="s">
        <v>853</v>
      </c>
      <c r="E214" s="18"/>
      <c r="F214" s="18"/>
      <c r="G214" s="18"/>
      <c r="H214" s="19"/>
      <c r="I214" s="24" t="s">
        <v>882</v>
      </c>
      <c r="J214" s="18"/>
      <c r="K214" s="18"/>
      <c r="L214" s="19"/>
      <c r="M214" s="22" t="str">
        <f t="shared" si="28"/>
        <v>Público Pendente</v>
      </c>
      <c r="N214" s="30"/>
    </row>
    <row r="215" ht="15.75" customHeight="1">
      <c r="A215" s="30"/>
      <c r="B215" s="21" t="b">
        <v>0</v>
      </c>
      <c r="C215" s="22">
        <v>3.0</v>
      </c>
      <c r="D215" s="23" t="s">
        <v>855</v>
      </c>
      <c r="E215" s="18"/>
      <c r="F215" s="18"/>
      <c r="G215" s="18"/>
      <c r="H215" s="19"/>
      <c r="I215" s="24" t="s">
        <v>883</v>
      </c>
      <c r="J215" s="18"/>
      <c r="K215" s="18"/>
      <c r="L215" s="19"/>
      <c r="M215" s="22" t="str">
        <f t="shared" si="28"/>
        <v>Público Pendente</v>
      </c>
      <c r="N215" s="30"/>
    </row>
    <row r="216" ht="15.75" customHeight="1">
      <c r="A216" s="30"/>
      <c r="B216" s="21" t="b">
        <v>0</v>
      </c>
      <c r="C216" s="22">
        <v>4.0</v>
      </c>
      <c r="D216" s="23" t="s">
        <v>857</v>
      </c>
      <c r="E216" s="18"/>
      <c r="F216" s="18"/>
      <c r="G216" s="18"/>
      <c r="H216" s="19"/>
      <c r="I216" s="24" t="s">
        <v>884</v>
      </c>
      <c r="J216" s="18"/>
      <c r="K216" s="18"/>
      <c r="L216" s="19"/>
      <c r="M216" s="22" t="str">
        <f t="shared" si="28"/>
        <v>Público Pendente</v>
      </c>
      <c r="N216" s="30"/>
    </row>
    <row r="217" ht="15.75" customHeight="1">
      <c r="A217" s="30"/>
      <c r="B217" s="21" t="b">
        <v>0</v>
      </c>
      <c r="C217" s="22">
        <v>5.0</v>
      </c>
      <c r="D217" s="23" t="s">
        <v>859</v>
      </c>
      <c r="E217" s="18"/>
      <c r="F217" s="18"/>
      <c r="G217" s="18"/>
      <c r="H217" s="19"/>
      <c r="I217" s="24" t="s">
        <v>885</v>
      </c>
      <c r="J217" s="18"/>
      <c r="K217" s="18"/>
      <c r="L217" s="19"/>
      <c r="M217" s="22" t="str">
        <f t="shared" si="28"/>
        <v>Público Pendente</v>
      </c>
      <c r="N217" s="30"/>
    </row>
    <row r="218" ht="15.75" customHeight="1">
      <c r="A218" s="30"/>
      <c r="C218" s="14"/>
      <c r="N218" s="30"/>
    </row>
    <row r="219" ht="15.75" customHeight="1">
      <c r="A219" s="30"/>
      <c r="C219" s="14"/>
      <c r="N219" s="30"/>
    </row>
    <row r="220" ht="15.75" customHeight="1">
      <c r="A220" s="53"/>
      <c r="B220" s="54" t="s">
        <v>886</v>
      </c>
      <c r="N220" s="53"/>
    </row>
    <row r="221" ht="15.75" customHeight="1">
      <c r="A221" s="53"/>
      <c r="N221" s="53"/>
    </row>
    <row r="222" ht="15.75" customHeight="1">
      <c r="A222" s="53"/>
      <c r="N222" s="53"/>
    </row>
    <row r="223" ht="15.75" customHeight="1">
      <c r="A223" s="53"/>
      <c r="C223" s="14"/>
      <c r="N223" s="53"/>
    </row>
    <row r="224" ht="15.75" customHeight="1">
      <c r="A224" s="53"/>
      <c r="B224" s="55"/>
      <c r="C224" s="55" t="s">
        <v>4</v>
      </c>
      <c r="D224" s="56" t="s">
        <v>5</v>
      </c>
      <c r="E224" s="18"/>
      <c r="F224" s="18"/>
      <c r="G224" s="18"/>
      <c r="H224" s="19"/>
      <c r="I224" s="57" t="s">
        <v>6</v>
      </c>
      <c r="J224" s="18"/>
      <c r="K224" s="18"/>
      <c r="L224" s="19"/>
      <c r="M224" s="55" t="s">
        <v>7</v>
      </c>
      <c r="N224" s="53"/>
    </row>
    <row r="225" ht="15.75" customHeight="1">
      <c r="A225" s="53"/>
      <c r="B225" s="21" t="b">
        <v>0</v>
      </c>
      <c r="C225" s="22">
        <v>1.0</v>
      </c>
      <c r="D225" s="23" t="s">
        <v>887</v>
      </c>
      <c r="E225" s="18"/>
      <c r="F225" s="18"/>
      <c r="G225" s="18"/>
      <c r="H225" s="19"/>
      <c r="I225" s="24" t="s">
        <v>888</v>
      </c>
      <c r="J225" s="18"/>
      <c r="K225" s="18"/>
      <c r="L225" s="19"/>
      <c r="M225" s="22" t="str">
        <f t="shared" ref="M225:M229" si="29">IF(B225=TRUE,"Público Criado","Público Pendente")</f>
        <v>Público Pendente</v>
      </c>
      <c r="N225" s="53"/>
    </row>
    <row r="226" ht="15.75" customHeight="1">
      <c r="A226" s="53"/>
      <c r="B226" s="21" t="b">
        <v>0</v>
      </c>
      <c r="C226" s="22">
        <v>2.0</v>
      </c>
      <c r="D226" s="23" t="s">
        <v>889</v>
      </c>
      <c r="E226" s="18"/>
      <c r="F226" s="18"/>
      <c r="G226" s="18"/>
      <c r="H226" s="19"/>
      <c r="I226" s="24" t="s">
        <v>890</v>
      </c>
      <c r="J226" s="18"/>
      <c r="K226" s="18"/>
      <c r="L226" s="19"/>
      <c r="M226" s="22" t="str">
        <f t="shared" si="29"/>
        <v>Público Pendente</v>
      </c>
      <c r="N226" s="53"/>
    </row>
    <row r="227" ht="15.75" customHeight="1">
      <c r="A227" s="53"/>
      <c r="B227" s="21" t="b">
        <v>0</v>
      </c>
      <c r="C227" s="22">
        <v>3.0</v>
      </c>
      <c r="D227" s="23" t="s">
        <v>891</v>
      </c>
      <c r="E227" s="18"/>
      <c r="F227" s="18"/>
      <c r="G227" s="18"/>
      <c r="H227" s="19"/>
      <c r="I227" s="24" t="s">
        <v>892</v>
      </c>
      <c r="J227" s="18"/>
      <c r="K227" s="18"/>
      <c r="L227" s="19"/>
      <c r="M227" s="22" t="str">
        <f t="shared" si="29"/>
        <v>Público Pendente</v>
      </c>
      <c r="N227" s="53"/>
    </row>
    <row r="228" ht="15.75" customHeight="1">
      <c r="A228" s="53"/>
      <c r="B228" s="21" t="b">
        <v>0</v>
      </c>
      <c r="C228" s="22">
        <v>4.0</v>
      </c>
      <c r="D228" s="23" t="s">
        <v>893</v>
      </c>
      <c r="E228" s="18"/>
      <c r="F228" s="18"/>
      <c r="G228" s="18"/>
      <c r="H228" s="19"/>
      <c r="I228" s="24" t="s">
        <v>894</v>
      </c>
      <c r="J228" s="18"/>
      <c r="K228" s="18"/>
      <c r="L228" s="19"/>
      <c r="M228" s="22" t="str">
        <f t="shared" si="29"/>
        <v>Público Pendente</v>
      </c>
      <c r="N228" s="53"/>
    </row>
    <row r="229" ht="15.75" customHeight="1">
      <c r="A229" s="53"/>
      <c r="B229" s="21" t="b">
        <v>0</v>
      </c>
      <c r="C229" s="22">
        <v>5.0</v>
      </c>
      <c r="D229" s="23" t="s">
        <v>895</v>
      </c>
      <c r="E229" s="18"/>
      <c r="F229" s="18"/>
      <c r="G229" s="18"/>
      <c r="H229" s="19"/>
      <c r="I229" s="24" t="s">
        <v>896</v>
      </c>
      <c r="J229" s="18"/>
      <c r="K229" s="18"/>
      <c r="L229" s="19"/>
      <c r="M229" s="22" t="str">
        <f t="shared" si="29"/>
        <v>Público Pendente</v>
      </c>
      <c r="N229" s="53"/>
    </row>
    <row r="230" ht="15.75" customHeight="1">
      <c r="A230" s="53"/>
      <c r="B230" s="5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53"/>
    </row>
    <row r="231" ht="15.75" customHeight="1">
      <c r="A231" s="53"/>
      <c r="B231" s="21" t="b">
        <v>0</v>
      </c>
      <c r="C231" s="22">
        <v>1.0</v>
      </c>
      <c r="D231" s="23" t="s">
        <v>897</v>
      </c>
      <c r="E231" s="18"/>
      <c r="F231" s="18"/>
      <c r="G231" s="18"/>
      <c r="H231" s="19"/>
      <c r="I231" s="24" t="s">
        <v>898</v>
      </c>
      <c r="J231" s="18"/>
      <c r="K231" s="18"/>
      <c r="L231" s="19"/>
      <c r="M231" s="22" t="str">
        <f t="shared" ref="M231:M235" si="30">IF(B231=TRUE,"Público Criado","Público Pendente")</f>
        <v>Público Pendente</v>
      </c>
      <c r="N231" s="53"/>
    </row>
    <row r="232" ht="15.75" customHeight="1">
      <c r="A232" s="53"/>
      <c r="B232" s="21" t="b">
        <v>0</v>
      </c>
      <c r="C232" s="22">
        <v>2.0</v>
      </c>
      <c r="D232" s="23" t="s">
        <v>899</v>
      </c>
      <c r="E232" s="18"/>
      <c r="F232" s="18"/>
      <c r="G232" s="18"/>
      <c r="H232" s="19"/>
      <c r="I232" s="24" t="s">
        <v>900</v>
      </c>
      <c r="J232" s="18"/>
      <c r="K232" s="18"/>
      <c r="L232" s="19"/>
      <c r="M232" s="22" t="str">
        <f t="shared" si="30"/>
        <v>Público Pendente</v>
      </c>
      <c r="N232" s="53"/>
    </row>
    <row r="233" ht="15.75" customHeight="1">
      <c r="A233" s="53"/>
      <c r="B233" s="21" t="b">
        <v>0</v>
      </c>
      <c r="C233" s="22">
        <v>3.0</v>
      </c>
      <c r="D233" s="23" t="s">
        <v>901</v>
      </c>
      <c r="E233" s="18"/>
      <c r="F233" s="18"/>
      <c r="G233" s="18"/>
      <c r="H233" s="19"/>
      <c r="I233" s="24" t="s">
        <v>902</v>
      </c>
      <c r="J233" s="18"/>
      <c r="K233" s="18"/>
      <c r="L233" s="19"/>
      <c r="M233" s="22" t="str">
        <f t="shared" si="30"/>
        <v>Público Pendente</v>
      </c>
      <c r="N233" s="53"/>
    </row>
    <row r="234" ht="15.75" customHeight="1">
      <c r="A234" s="53"/>
      <c r="B234" s="21" t="b">
        <v>0</v>
      </c>
      <c r="C234" s="22">
        <v>4.0</v>
      </c>
      <c r="D234" s="23" t="s">
        <v>903</v>
      </c>
      <c r="E234" s="18"/>
      <c r="F234" s="18"/>
      <c r="G234" s="18"/>
      <c r="H234" s="19"/>
      <c r="I234" s="24" t="s">
        <v>904</v>
      </c>
      <c r="J234" s="18"/>
      <c r="K234" s="18"/>
      <c r="L234" s="19"/>
      <c r="M234" s="22" t="str">
        <f t="shared" si="30"/>
        <v>Público Pendente</v>
      </c>
      <c r="N234" s="53"/>
    </row>
    <row r="235" ht="15.75" customHeight="1">
      <c r="A235" s="53"/>
      <c r="B235" s="21" t="b">
        <v>0</v>
      </c>
      <c r="C235" s="22">
        <v>5.0</v>
      </c>
      <c r="D235" s="23" t="s">
        <v>905</v>
      </c>
      <c r="E235" s="18"/>
      <c r="F235" s="18"/>
      <c r="G235" s="18"/>
      <c r="H235" s="19"/>
      <c r="I235" s="24" t="s">
        <v>906</v>
      </c>
      <c r="J235" s="18"/>
      <c r="K235" s="18"/>
      <c r="L235" s="19"/>
      <c r="M235" s="22" t="str">
        <f t="shared" si="30"/>
        <v>Público Pendente</v>
      </c>
      <c r="N235" s="53"/>
    </row>
    <row r="236" ht="15.75" customHeight="1">
      <c r="A236" s="53"/>
      <c r="B236" s="5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53"/>
    </row>
    <row r="237" ht="15.75" customHeight="1">
      <c r="A237" s="53"/>
      <c r="B237" s="21" t="b">
        <v>0</v>
      </c>
      <c r="C237" s="22">
        <v>1.0</v>
      </c>
      <c r="D237" s="23" t="s">
        <v>907</v>
      </c>
      <c r="E237" s="18"/>
      <c r="F237" s="18"/>
      <c r="G237" s="18"/>
      <c r="H237" s="19"/>
      <c r="I237" s="24" t="s">
        <v>908</v>
      </c>
      <c r="J237" s="18"/>
      <c r="K237" s="18"/>
      <c r="L237" s="19"/>
      <c r="M237" s="22" t="str">
        <f t="shared" ref="M237:M241" si="31">IF(B237=TRUE,"Público Criado","Público Pendente")</f>
        <v>Público Pendente</v>
      </c>
      <c r="N237" s="53"/>
    </row>
    <row r="238" ht="15.75" customHeight="1">
      <c r="A238" s="53"/>
      <c r="B238" s="21" t="b">
        <v>0</v>
      </c>
      <c r="C238" s="22">
        <v>2.0</v>
      </c>
      <c r="D238" s="23" t="s">
        <v>909</v>
      </c>
      <c r="E238" s="18"/>
      <c r="F238" s="18"/>
      <c r="G238" s="18"/>
      <c r="H238" s="19"/>
      <c r="I238" s="24" t="s">
        <v>910</v>
      </c>
      <c r="J238" s="18"/>
      <c r="K238" s="18"/>
      <c r="L238" s="19"/>
      <c r="M238" s="22" t="str">
        <f t="shared" si="31"/>
        <v>Público Pendente</v>
      </c>
      <c r="N238" s="53"/>
    </row>
    <row r="239" ht="15.75" customHeight="1">
      <c r="A239" s="53"/>
      <c r="B239" s="21" t="b">
        <v>0</v>
      </c>
      <c r="C239" s="22">
        <v>3.0</v>
      </c>
      <c r="D239" s="23" t="s">
        <v>911</v>
      </c>
      <c r="E239" s="18"/>
      <c r="F239" s="18"/>
      <c r="G239" s="18"/>
      <c r="H239" s="19"/>
      <c r="I239" s="24" t="s">
        <v>912</v>
      </c>
      <c r="J239" s="18"/>
      <c r="K239" s="18"/>
      <c r="L239" s="19"/>
      <c r="M239" s="22" t="str">
        <f t="shared" si="31"/>
        <v>Público Pendente</v>
      </c>
      <c r="N239" s="53"/>
    </row>
    <row r="240" ht="15.75" customHeight="1">
      <c r="A240" s="53"/>
      <c r="B240" s="21" t="b">
        <v>0</v>
      </c>
      <c r="C240" s="22">
        <v>4.0</v>
      </c>
      <c r="D240" s="23" t="s">
        <v>913</v>
      </c>
      <c r="E240" s="18"/>
      <c r="F240" s="18"/>
      <c r="G240" s="18"/>
      <c r="H240" s="19"/>
      <c r="I240" s="24" t="s">
        <v>914</v>
      </c>
      <c r="J240" s="18"/>
      <c r="K240" s="18"/>
      <c r="L240" s="19"/>
      <c r="M240" s="22" t="str">
        <f t="shared" si="31"/>
        <v>Público Pendente</v>
      </c>
      <c r="N240" s="53"/>
    </row>
    <row r="241" ht="15.75" customHeight="1">
      <c r="A241" s="53"/>
      <c r="B241" s="21" t="b">
        <v>0</v>
      </c>
      <c r="C241" s="22">
        <v>5.0</v>
      </c>
      <c r="D241" s="23" t="s">
        <v>915</v>
      </c>
      <c r="E241" s="18"/>
      <c r="F241" s="18"/>
      <c r="G241" s="18"/>
      <c r="H241" s="19"/>
      <c r="I241" s="24" t="s">
        <v>916</v>
      </c>
      <c r="J241" s="18"/>
      <c r="K241" s="18"/>
      <c r="L241" s="19"/>
      <c r="M241" s="22" t="str">
        <f t="shared" si="31"/>
        <v>Público Pendente</v>
      </c>
      <c r="N241" s="53"/>
    </row>
    <row r="242" ht="15.75" customHeight="1">
      <c r="A242" s="53"/>
      <c r="B242" s="5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53"/>
    </row>
    <row r="243" ht="15.75" customHeight="1">
      <c r="A243" s="53"/>
      <c r="B243" s="21" t="b">
        <v>0</v>
      </c>
      <c r="C243" s="22">
        <v>1.0</v>
      </c>
      <c r="D243" s="23" t="s">
        <v>917</v>
      </c>
      <c r="E243" s="18"/>
      <c r="F243" s="18"/>
      <c r="G243" s="18"/>
      <c r="H243" s="19"/>
      <c r="I243" s="24" t="s">
        <v>918</v>
      </c>
      <c r="J243" s="18"/>
      <c r="K243" s="18"/>
      <c r="L243" s="19"/>
      <c r="M243" s="22" t="str">
        <f t="shared" ref="M243:M247" si="32">IF(B243=TRUE,"Público Criado","Público Pendente")</f>
        <v>Público Pendente</v>
      </c>
      <c r="N243" s="53"/>
    </row>
    <row r="244" ht="15.75" customHeight="1">
      <c r="A244" s="53"/>
      <c r="B244" s="21" t="b">
        <v>0</v>
      </c>
      <c r="C244" s="22">
        <v>2.0</v>
      </c>
      <c r="D244" s="23" t="s">
        <v>919</v>
      </c>
      <c r="E244" s="18"/>
      <c r="F244" s="18"/>
      <c r="G244" s="18"/>
      <c r="H244" s="19"/>
      <c r="I244" s="24" t="s">
        <v>920</v>
      </c>
      <c r="J244" s="18"/>
      <c r="K244" s="18"/>
      <c r="L244" s="19"/>
      <c r="M244" s="22" t="str">
        <f t="shared" si="32"/>
        <v>Público Pendente</v>
      </c>
      <c r="N244" s="53"/>
    </row>
    <row r="245" ht="15.75" customHeight="1">
      <c r="A245" s="53"/>
      <c r="B245" s="21" t="b">
        <v>0</v>
      </c>
      <c r="C245" s="22">
        <v>3.0</v>
      </c>
      <c r="D245" s="23" t="s">
        <v>921</v>
      </c>
      <c r="E245" s="18"/>
      <c r="F245" s="18"/>
      <c r="G245" s="18"/>
      <c r="H245" s="19"/>
      <c r="I245" s="24" t="s">
        <v>922</v>
      </c>
      <c r="J245" s="18"/>
      <c r="K245" s="18"/>
      <c r="L245" s="19"/>
      <c r="M245" s="22" t="str">
        <f t="shared" si="32"/>
        <v>Público Pendente</v>
      </c>
      <c r="N245" s="53"/>
    </row>
    <row r="246" ht="15.75" customHeight="1">
      <c r="A246" s="53"/>
      <c r="B246" s="21" t="b">
        <v>0</v>
      </c>
      <c r="C246" s="22">
        <v>4.0</v>
      </c>
      <c r="D246" s="23" t="s">
        <v>923</v>
      </c>
      <c r="E246" s="18"/>
      <c r="F246" s="18"/>
      <c r="G246" s="18"/>
      <c r="H246" s="19"/>
      <c r="I246" s="24" t="s">
        <v>924</v>
      </c>
      <c r="J246" s="18"/>
      <c r="K246" s="18"/>
      <c r="L246" s="19"/>
      <c r="M246" s="22" t="str">
        <f t="shared" si="32"/>
        <v>Público Pendente</v>
      </c>
      <c r="N246" s="53"/>
    </row>
    <row r="247" ht="15.75" customHeight="1">
      <c r="A247" s="53"/>
      <c r="B247" s="21" t="b">
        <v>0</v>
      </c>
      <c r="C247" s="22">
        <v>5.0</v>
      </c>
      <c r="D247" s="23" t="s">
        <v>925</v>
      </c>
      <c r="E247" s="18"/>
      <c r="F247" s="18"/>
      <c r="G247" s="18"/>
      <c r="H247" s="19"/>
      <c r="I247" s="24" t="s">
        <v>926</v>
      </c>
      <c r="J247" s="18"/>
      <c r="K247" s="18"/>
      <c r="L247" s="19"/>
      <c r="M247" s="22" t="str">
        <f t="shared" si="32"/>
        <v>Público Pendente</v>
      </c>
      <c r="N247" s="53"/>
    </row>
    <row r="248" ht="15.75" customHeight="1">
      <c r="A248" s="53"/>
      <c r="C248" s="14"/>
      <c r="N248" s="53"/>
    </row>
    <row r="249" ht="15.75" customHeight="1">
      <c r="A249" s="53"/>
      <c r="C249" s="14"/>
      <c r="N249" s="53"/>
    </row>
    <row r="250" ht="15.75" hidden="1" customHeight="1">
      <c r="A250" s="1"/>
      <c r="C250" s="14"/>
      <c r="N250" s="1"/>
    </row>
    <row r="251" ht="15.75" hidden="1" customHeight="1">
      <c r="A251" s="1"/>
      <c r="C251" s="14"/>
      <c r="N251" s="1"/>
    </row>
    <row r="252" ht="15.75" hidden="1" customHeight="1">
      <c r="A252" s="1"/>
      <c r="C252" s="14"/>
      <c r="N252" s="1"/>
    </row>
    <row r="253" ht="15.75" hidden="1" customHeight="1">
      <c r="A253" s="1"/>
      <c r="C253" s="14"/>
      <c r="N253" s="1"/>
    </row>
    <row r="254" ht="15.75" hidden="1" customHeight="1">
      <c r="A254" s="1"/>
      <c r="C254" s="14"/>
      <c r="N254" s="1"/>
    </row>
    <row r="255" ht="15.75" hidden="1" customHeight="1">
      <c r="A255" s="1"/>
      <c r="C255" s="14"/>
      <c r="N255" s="1"/>
    </row>
    <row r="256" ht="15.75" hidden="1" customHeight="1">
      <c r="A256" s="1"/>
      <c r="C256" s="14"/>
      <c r="N256" s="1"/>
    </row>
    <row r="257" ht="15.75" hidden="1" customHeight="1">
      <c r="A257" s="1"/>
      <c r="C257" s="14"/>
      <c r="N257" s="1"/>
    </row>
    <row r="258" ht="15.75" hidden="1" customHeight="1">
      <c r="A258" s="1"/>
      <c r="C258" s="14"/>
      <c r="N258" s="1"/>
    </row>
    <row r="259" ht="15.75" hidden="1" customHeight="1">
      <c r="A259" s="1"/>
      <c r="C259" s="14"/>
      <c r="N259" s="1"/>
    </row>
    <row r="260" ht="15.75" hidden="1" customHeight="1">
      <c r="A260" s="1"/>
      <c r="C260" s="14"/>
      <c r="N260" s="1"/>
    </row>
    <row r="261" ht="15.75" hidden="1" customHeight="1">
      <c r="A261" s="1"/>
      <c r="C261" s="14"/>
      <c r="N261" s="1"/>
    </row>
    <row r="262" ht="15.75" hidden="1" customHeight="1">
      <c r="A262" s="1"/>
      <c r="C262" s="14"/>
      <c r="N262" s="1"/>
    </row>
    <row r="263" ht="15.75" hidden="1" customHeight="1">
      <c r="A263" s="1"/>
      <c r="C263" s="14"/>
      <c r="N263" s="1"/>
    </row>
    <row r="264" ht="15.75" hidden="1" customHeight="1">
      <c r="A264" s="1"/>
      <c r="C264" s="14"/>
      <c r="N264" s="1"/>
    </row>
    <row r="265" ht="15.75" hidden="1" customHeight="1">
      <c r="A265" s="1"/>
      <c r="C265" s="14"/>
      <c r="N265" s="1"/>
    </row>
    <row r="266" ht="15.75" hidden="1" customHeight="1">
      <c r="A266" s="1"/>
      <c r="C266" s="14"/>
      <c r="N266" s="1"/>
    </row>
    <row r="267" ht="15.75" hidden="1" customHeight="1">
      <c r="A267" s="1"/>
      <c r="C267" s="14"/>
      <c r="N267" s="1"/>
    </row>
    <row r="268" ht="15.75" hidden="1" customHeight="1">
      <c r="A268" s="1"/>
      <c r="C268" s="14"/>
      <c r="N268" s="1"/>
    </row>
    <row r="269" ht="15.75" hidden="1" customHeight="1">
      <c r="A269" s="1"/>
      <c r="C269" s="14"/>
      <c r="N269" s="1"/>
    </row>
    <row r="270" ht="15.75" hidden="1" customHeight="1">
      <c r="A270" s="1"/>
      <c r="C270" s="14"/>
      <c r="N270" s="1"/>
    </row>
    <row r="271" ht="15.75" hidden="1" customHeight="1">
      <c r="A271" s="1"/>
      <c r="C271" s="14"/>
      <c r="N271" s="1"/>
    </row>
    <row r="272" ht="15.75" hidden="1" customHeight="1">
      <c r="A272" s="1"/>
      <c r="C272" s="14"/>
      <c r="N272" s="1"/>
    </row>
    <row r="273" ht="15.75" hidden="1" customHeight="1">
      <c r="A273" s="1"/>
      <c r="C273" s="14"/>
      <c r="N273" s="1"/>
    </row>
    <row r="274" ht="15.75" hidden="1" customHeight="1">
      <c r="A274" s="1"/>
      <c r="C274" s="14"/>
      <c r="N274" s="1"/>
    </row>
    <row r="275" ht="15.75" hidden="1" customHeight="1">
      <c r="A275" s="1"/>
      <c r="C275" s="14"/>
      <c r="N275" s="1"/>
    </row>
    <row r="276" ht="15.75" hidden="1" customHeight="1">
      <c r="A276" s="1"/>
      <c r="C276" s="14"/>
      <c r="N276" s="1"/>
    </row>
    <row r="277" ht="15.75" hidden="1" customHeight="1">
      <c r="A277" s="1"/>
      <c r="C277" s="14"/>
      <c r="N277" s="1"/>
    </row>
    <row r="278" ht="15.75" hidden="1" customHeight="1">
      <c r="A278" s="1"/>
      <c r="C278" s="14"/>
      <c r="N278" s="1"/>
    </row>
    <row r="279" ht="15.75" hidden="1" customHeight="1">
      <c r="A279" s="1"/>
      <c r="C279" s="14"/>
      <c r="N279" s="1"/>
    </row>
    <row r="280" ht="15.75" hidden="1" customHeight="1">
      <c r="A280" s="1"/>
      <c r="C280" s="14"/>
      <c r="N280" s="1"/>
    </row>
    <row r="281" ht="15.75" hidden="1" customHeight="1">
      <c r="A281" s="1"/>
      <c r="C281" s="14"/>
      <c r="N281" s="1"/>
    </row>
    <row r="282" ht="15.75" hidden="1" customHeight="1">
      <c r="A282" s="1"/>
      <c r="C282" s="14"/>
      <c r="N282" s="1"/>
    </row>
    <row r="283" ht="15.75" hidden="1" customHeight="1">
      <c r="A283" s="1"/>
      <c r="C283" s="14"/>
      <c r="N283" s="1"/>
    </row>
    <row r="284" ht="15.75" hidden="1" customHeight="1">
      <c r="A284" s="1"/>
      <c r="C284" s="14"/>
      <c r="N284" s="1"/>
    </row>
    <row r="285" ht="15.75" hidden="1" customHeight="1">
      <c r="A285" s="1"/>
      <c r="C285" s="14"/>
      <c r="N285" s="1"/>
    </row>
    <row r="286" ht="15.75" hidden="1" customHeight="1">
      <c r="A286" s="1"/>
      <c r="C286" s="14"/>
      <c r="N286" s="1"/>
    </row>
    <row r="287" ht="15.75" hidden="1" customHeight="1">
      <c r="A287" s="1"/>
      <c r="C287" s="14"/>
      <c r="N287" s="1"/>
    </row>
    <row r="288" ht="15.75" hidden="1" customHeight="1">
      <c r="A288" s="1"/>
      <c r="C288" s="14"/>
      <c r="N288" s="1"/>
    </row>
    <row r="289" ht="15.75" hidden="1" customHeight="1">
      <c r="A289" s="1"/>
      <c r="C289" s="14"/>
      <c r="N289" s="1"/>
    </row>
    <row r="290" ht="15.75" hidden="1" customHeight="1">
      <c r="A290" s="1"/>
      <c r="C290" s="14"/>
      <c r="N290" s="1"/>
    </row>
    <row r="291" ht="15.75" hidden="1" customHeight="1">
      <c r="A291" s="1"/>
      <c r="C291" s="14"/>
      <c r="N291" s="1"/>
    </row>
    <row r="292" ht="15.75" hidden="1" customHeight="1">
      <c r="A292" s="1"/>
      <c r="C292" s="14"/>
      <c r="N292" s="1"/>
    </row>
    <row r="293" ht="15.75" hidden="1" customHeight="1">
      <c r="A293" s="1"/>
      <c r="C293" s="14"/>
      <c r="N293" s="1"/>
    </row>
    <row r="294" ht="15.75" hidden="1" customHeight="1">
      <c r="A294" s="1"/>
      <c r="C294" s="14"/>
      <c r="N294" s="1"/>
    </row>
    <row r="295" ht="15.75" hidden="1" customHeight="1">
      <c r="A295" s="1"/>
      <c r="C295" s="14"/>
      <c r="N295" s="1"/>
    </row>
    <row r="296" ht="15.75" hidden="1" customHeight="1">
      <c r="A296" s="1"/>
      <c r="C296" s="14"/>
      <c r="N296" s="1"/>
    </row>
    <row r="297" ht="15.75" hidden="1" customHeight="1">
      <c r="A297" s="1"/>
      <c r="C297" s="14"/>
      <c r="N297" s="1"/>
    </row>
    <row r="298" ht="15.75" hidden="1" customHeight="1">
      <c r="A298" s="1"/>
      <c r="C298" s="14"/>
      <c r="N298" s="1"/>
    </row>
    <row r="299" ht="15.75" hidden="1" customHeight="1">
      <c r="A299" s="1"/>
      <c r="C299" s="14"/>
      <c r="N299" s="1"/>
    </row>
    <row r="300" ht="15.75" hidden="1" customHeight="1">
      <c r="A300" s="1"/>
      <c r="C300" s="14"/>
      <c r="N300" s="1"/>
    </row>
    <row r="301" ht="15.75" hidden="1" customHeight="1">
      <c r="A301" s="1"/>
      <c r="C301" s="14"/>
      <c r="N301" s="1"/>
    </row>
    <row r="302" ht="15.75" hidden="1" customHeight="1">
      <c r="A302" s="1"/>
      <c r="C302" s="14"/>
      <c r="N302" s="1"/>
    </row>
    <row r="303" ht="15.75" hidden="1" customHeight="1">
      <c r="A303" s="1"/>
      <c r="C303" s="14"/>
      <c r="N303" s="1"/>
    </row>
    <row r="304" ht="15.75" hidden="1" customHeight="1">
      <c r="A304" s="1"/>
      <c r="C304" s="14"/>
      <c r="N304" s="1"/>
    </row>
    <row r="305" ht="15.75" hidden="1" customHeight="1">
      <c r="A305" s="1"/>
      <c r="C305" s="14"/>
      <c r="N305" s="1"/>
    </row>
    <row r="306" ht="15.75" hidden="1" customHeight="1">
      <c r="A306" s="1"/>
      <c r="C306" s="14"/>
      <c r="N306" s="1"/>
    </row>
    <row r="307" ht="15.75" hidden="1" customHeight="1">
      <c r="A307" s="1"/>
      <c r="C307" s="14"/>
      <c r="N307" s="1"/>
    </row>
    <row r="308" ht="15.75" hidden="1" customHeight="1">
      <c r="A308" s="1"/>
      <c r="C308" s="14"/>
      <c r="N308" s="1"/>
    </row>
    <row r="309" ht="15.75" hidden="1" customHeight="1">
      <c r="A309" s="1"/>
      <c r="C309" s="14"/>
      <c r="N309" s="1"/>
    </row>
    <row r="310" ht="15.75" hidden="1" customHeight="1">
      <c r="A310" s="1"/>
      <c r="C310" s="14"/>
      <c r="N310" s="1"/>
    </row>
    <row r="311" ht="15.75" hidden="1" customHeight="1">
      <c r="A311" s="1"/>
      <c r="C311" s="14"/>
      <c r="N311" s="1"/>
    </row>
    <row r="312" ht="15.75" hidden="1" customHeight="1">
      <c r="A312" s="1"/>
      <c r="C312" s="14"/>
      <c r="N312" s="1"/>
    </row>
    <row r="313" ht="15.75" hidden="1" customHeight="1">
      <c r="A313" s="1"/>
      <c r="C313" s="14"/>
      <c r="N313" s="1"/>
    </row>
    <row r="314" ht="15.75" hidden="1" customHeight="1">
      <c r="A314" s="1"/>
      <c r="C314" s="14"/>
      <c r="N314" s="1"/>
    </row>
    <row r="315" ht="15.75" hidden="1" customHeight="1">
      <c r="A315" s="1"/>
      <c r="C315" s="14"/>
      <c r="N315" s="1"/>
    </row>
    <row r="316" ht="15.75" hidden="1" customHeight="1">
      <c r="A316" s="1"/>
      <c r="C316" s="14"/>
      <c r="N316" s="1"/>
    </row>
    <row r="317" ht="15.75" hidden="1" customHeight="1">
      <c r="A317" s="1"/>
      <c r="C317" s="14"/>
      <c r="N317" s="1"/>
    </row>
    <row r="318" ht="15.75" hidden="1" customHeight="1">
      <c r="A318" s="1"/>
      <c r="C318" s="14"/>
      <c r="N318" s="1"/>
    </row>
    <row r="319" ht="15.75" hidden="1" customHeight="1">
      <c r="A319" s="1"/>
      <c r="C319" s="14"/>
      <c r="N319" s="1"/>
    </row>
    <row r="320" ht="15.75" hidden="1" customHeight="1">
      <c r="A320" s="1"/>
      <c r="C320" s="14"/>
      <c r="N320" s="1"/>
    </row>
    <row r="321" ht="15.75" hidden="1" customHeight="1">
      <c r="A321" s="1"/>
      <c r="C321" s="14"/>
      <c r="N321" s="1"/>
    </row>
    <row r="322" ht="15.75" hidden="1" customHeight="1">
      <c r="A322" s="1"/>
      <c r="C322" s="14"/>
      <c r="N322" s="1"/>
    </row>
    <row r="323" ht="15.75" hidden="1" customHeight="1">
      <c r="A323" s="1"/>
      <c r="C323" s="14"/>
      <c r="N323" s="1"/>
    </row>
    <row r="324" ht="15.75" hidden="1" customHeight="1">
      <c r="A324" s="1"/>
      <c r="C324" s="14"/>
      <c r="N324" s="1"/>
    </row>
    <row r="325" ht="15.75" hidden="1" customHeight="1">
      <c r="A325" s="1"/>
      <c r="C325" s="14"/>
      <c r="N325" s="1"/>
    </row>
    <row r="326" ht="15.75" hidden="1" customHeight="1">
      <c r="A326" s="1"/>
      <c r="C326" s="14"/>
      <c r="N326" s="1"/>
    </row>
    <row r="327" ht="15.75" hidden="1" customHeight="1">
      <c r="A327" s="1"/>
      <c r="C327" s="14"/>
      <c r="N327" s="1"/>
    </row>
    <row r="328" ht="15.75" hidden="1" customHeight="1">
      <c r="A328" s="1"/>
      <c r="C328" s="14"/>
      <c r="N328" s="1"/>
    </row>
    <row r="329" ht="15.75" hidden="1" customHeight="1">
      <c r="A329" s="1"/>
      <c r="C329" s="14"/>
      <c r="N329" s="1"/>
    </row>
    <row r="330" ht="15.75" hidden="1" customHeight="1">
      <c r="A330" s="1"/>
      <c r="C330" s="14"/>
      <c r="N330" s="1"/>
    </row>
    <row r="331" ht="15.75" hidden="1" customHeight="1">
      <c r="A331" s="1"/>
      <c r="C331" s="14"/>
      <c r="N331" s="1"/>
    </row>
    <row r="332" ht="15.75" hidden="1" customHeight="1">
      <c r="A332" s="1"/>
      <c r="C332" s="14"/>
      <c r="N332" s="1"/>
    </row>
    <row r="333" ht="15.75" hidden="1" customHeight="1">
      <c r="A333" s="1"/>
      <c r="C333" s="14"/>
      <c r="N333" s="1"/>
    </row>
    <row r="334" ht="15.75" hidden="1" customHeight="1">
      <c r="A334" s="1"/>
      <c r="C334" s="14"/>
      <c r="N334" s="1"/>
    </row>
    <row r="335" ht="15.75" hidden="1" customHeight="1">
      <c r="A335" s="1"/>
      <c r="C335" s="14"/>
      <c r="N335" s="1"/>
    </row>
    <row r="336" ht="15.75" hidden="1" customHeight="1">
      <c r="A336" s="1"/>
      <c r="C336" s="14"/>
      <c r="N336" s="1"/>
    </row>
    <row r="337" ht="15.75" hidden="1" customHeight="1">
      <c r="A337" s="1"/>
      <c r="C337" s="14"/>
      <c r="N337" s="1"/>
    </row>
    <row r="338" ht="15.75" hidden="1" customHeight="1">
      <c r="A338" s="1"/>
      <c r="C338" s="14"/>
      <c r="N338" s="1"/>
    </row>
    <row r="339" ht="15.75" hidden="1" customHeight="1">
      <c r="A339" s="1"/>
      <c r="C339" s="14"/>
      <c r="N339" s="1"/>
    </row>
    <row r="340" ht="15.75" hidden="1" customHeight="1">
      <c r="A340" s="1"/>
      <c r="C340" s="14"/>
      <c r="N340" s="1"/>
    </row>
    <row r="341" ht="15.75" hidden="1" customHeight="1">
      <c r="A341" s="1"/>
      <c r="C341" s="14"/>
      <c r="N341" s="1"/>
    </row>
    <row r="342" ht="15.75" hidden="1" customHeight="1">
      <c r="A342" s="1"/>
      <c r="C342" s="14"/>
      <c r="N342" s="1"/>
    </row>
    <row r="343" ht="15.75" hidden="1" customHeight="1">
      <c r="A343" s="1"/>
      <c r="C343" s="14"/>
      <c r="N343" s="1"/>
    </row>
    <row r="344" ht="15.75" hidden="1" customHeight="1">
      <c r="A344" s="1"/>
      <c r="C344" s="14"/>
      <c r="N344" s="1"/>
    </row>
    <row r="345" ht="15.75" hidden="1" customHeight="1">
      <c r="A345" s="1"/>
      <c r="C345" s="14"/>
      <c r="N345" s="1"/>
    </row>
    <row r="346" ht="15.75" hidden="1" customHeight="1">
      <c r="A346" s="1"/>
      <c r="C346" s="14"/>
      <c r="N346" s="1"/>
    </row>
    <row r="347" ht="15.75" hidden="1" customHeight="1">
      <c r="A347" s="1"/>
      <c r="C347" s="14"/>
      <c r="N347" s="1"/>
    </row>
    <row r="348" ht="15.75" hidden="1" customHeight="1">
      <c r="A348" s="1"/>
      <c r="C348" s="14"/>
      <c r="N348" s="1"/>
    </row>
    <row r="349" ht="15.75" hidden="1" customHeight="1">
      <c r="A349" s="1"/>
      <c r="C349" s="14"/>
      <c r="N349" s="1"/>
    </row>
    <row r="350" ht="15.75" hidden="1" customHeight="1">
      <c r="A350" s="1"/>
      <c r="C350" s="14"/>
      <c r="N350" s="1"/>
    </row>
    <row r="351" ht="15.75" hidden="1" customHeight="1">
      <c r="A351" s="1"/>
      <c r="C351" s="14"/>
      <c r="N351" s="1"/>
    </row>
    <row r="352" ht="15.75" hidden="1" customHeight="1">
      <c r="A352" s="1"/>
      <c r="C352" s="14"/>
      <c r="N352" s="1"/>
    </row>
    <row r="353" ht="15.75" hidden="1" customHeight="1">
      <c r="A353" s="1"/>
      <c r="C353" s="14"/>
      <c r="N353" s="1"/>
    </row>
    <row r="354" ht="15.75" hidden="1" customHeight="1">
      <c r="A354" s="1"/>
      <c r="C354" s="14"/>
      <c r="N354" s="1"/>
    </row>
    <row r="355" ht="15.75" hidden="1" customHeight="1">
      <c r="A355" s="1"/>
      <c r="C355" s="14"/>
      <c r="N355" s="1"/>
    </row>
    <row r="356" ht="15.75" hidden="1" customHeight="1">
      <c r="A356" s="1"/>
      <c r="C356" s="14"/>
      <c r="N356" s="1"/>
    </row>
    <row r="357" ht="15.75" hidden="1" customHeight="1">
      <c r="A357" s="1"/>
      <c r="C357" s="14"/>
      <c r="N357" s="1"/>
    </row>
    <row r="358" ht="15.75" hidden="1" customHeight="1">
      <c r="A358" s="1"/>
      <c r="C358" s="14"/>
      <c r="N358" s="1"/>
    </row>
    <row r="359" ht="15.75" hidden="1" customHeight="1">
      <c r="A359" s="1"/>
      <c r="C359" s="14"/>
      <c r="N359" s="1"/>
    </row>
    <row r="360" ht="15.75" hidden="1" customHeight="1">
      <c r="A360" s="1"/>
      <c r="C360" s="14"/>
      <c r="N360" s="1"/>
    </row>
    <row r="361" ht="15.75" hidden="1" customHeight="1">
      <c r="A361" s="1"/>
      <c r="C361" s="14"/>
      <c r="N361" s="1"/>
    </row>
    <row r="362" ht="15.75" hidden="1" customHeight="1">
      <c r="A362" s="1"/>
      <c r="C362" s="14"/>
      <c r="N362" s="1"/>
    </row>
    <row r="363" ht="15.75" hidden="1" customHeight="1">
      <c r="A363" s="1"/>
      <c r="C363" s="14"/>
      <c r="N363" s="1"/>
    </row>
    <row r="364" ht="15.75" hidden="1" customHeight="1">
      <c r="A364" s="1"/>
      <c r="C364" s="14"/>
      <c r="N364" s="1"/>
    </row>
    <row r="365" ht="15.75" hidden="1" customHeight="1">
      <c r="A365" s="1"/>
      <c r="C365" s="14"/>
      <c r="N365" s="1"/>
    </row>
    <row r="366" ht="15.75" hidden="1" customHeight="1">
      <c r="A366" s="1"/>
      <c r="C366" s="14"/>
      <c r="N366" s="1"/>
    </row>
    <row r="367" ht="15.75" hidden="1" customHeight="1">
      <c r="A367" s="1"/>
      <c r="C367" s="14"/>
      <c r="N367" s="1"/>
    </row>
    <row r="368" ht="15.75" hidden="1" customHeight="1">
      <c r="A368" s="1"/>
      <c r="C368" s="14"/>
      <c r="N368" s="1"/>
    </row>
    <row r="369" ht="15.75" hidden="1" customHeight="1">
      <c r="A369" s="1"/>
      <c r="C369" s="14"/>
      <c r="N369" s="1"/>
    </row>
    <row r="370" ht="15.75" hidden="1" customHeight="1">
      <c r="A370" s="1"/>
      <c r="C370" s="14"/>
      <c r="N370" s="1"/>
    </row>
    <row r="371" ht="15.75" hidden="1" customHeight="1">
      <c r="A371" s="1"/>
      <c r="C371" s="14"/>
      <c r="N371" s="1"/>
    </row>
    <row r="372" ht="15.75" hidden="1" customHeight="1">
      <c r="A372" s="1"/>
      <c r="C372" s="14"/>
      <c r="N372" s="1"/>
    </row>
    <row r="373" ht="15.75" hidden="1" customHeight="1">
      <c r="A373" s="1"/>
      <c r="C373" s="14"/>
      <c r="N373" s="1"/>
    </row>
    <row r="374" ht="15.75" hidden="1" customHeight="1">
      <c r="A374" s="1"/>
      <c r="C374" s="14"/>
      <c r="N374" s="1"/>
    </row>
    <row r="375" ht="15.75" hidden="1" customHeight="1">
      <c r="A375" s="1"/>
      <c r="C375" s="14"/>
      <c r="N375" s="1"/>
    </row>
    <row r="376" ht="15.75" hidden="1" customHeight="1">
      <c r="A376" s="1"/>
      <c r="C376" s="14"/>
      <c r="N376" s="1"/>
    </row>
    <row r="377" ht="15.75" hidden="1" customHeight="1">
      <c r="A377" s="1"/>
      <c r="C377" s="14"/>
      <c r="N377" s="1"/>
    </row>
    <row r="378" ht="15.75" hidden="1" customHeight="1">
      <c r="A378" s="1"/>
      <c r="C378" s="14"/>
      <c r="N378" s="1"/>
    </row>
    <row r="379" ht="15.75" hidden="1" customHeight="1">
      <c r="A379" s="1"/>
      <c r="C379" s="14"/>
      <c r="N379" s="1"/>
    </row>
    <row r="380" ht="15.75" hidden="1" customHeight="1">
      <c r="A380" s="1"/>
      <c r="C380" s="14"/>
      <c r="N380" s="1"/>
    </row>
    <row r="381" ht="15.75" hidden="1" customHeight="1">
      <c r="A381" s="1"/>
      <c r="C381" s="14"/>
      <c r="N381" s="1"/>
    </row>
    <row r="382" ht="15.75" hidden="1" customHeight="1">
      <c r="A382" s="1"/>
      <c r="C382" s="14"/>
      <c r="N382" s="1"/>
    </row>
    <row r="383" ht="15.75" hidden="1" customHeight="1">
      <c r="A383" s="1"/>
      <c r="C383" s="14"/>
      <c r="N383" s="1"/>
    </row>
    <row r="384" ht="15.75" hidden="1" customHeight="1">
      <c r="A384" s="1"/>
      <c r="C384" s="14"/>
      <c r="N384" s="1"/>
    </row>
    <row r="385" ht="15.75" hidden="1" customHeight="1">
      <c r="A385" s="1"/>
      <c r="C385" s="14"/>
      <c r="N385" s="1"/>
    </row>
    <row r="386" ht="15.75" hidden="1" customHeight="1">
      <c r="A386" s="1"/>
      <c r="C386" s="14"/>
      <c r="N386" s="1"/>
    </row>
    <row r="387" ht="15.75" hidden="1" customHeight="1">
      <c r="A387" s="1"/>
      <c r="C387" s="14"/>
      <c r="N387" s="1"/>
    </row>
    <row r="388" ht="15.75" hidden="1" customHeight="1">
      <c r="A388" s="1"/>
      <c r="C388" s="14"/>
      <c r="N388" s="1"/>
    </row>
    <row r="389" ht="15.75" hidden="1" customHeight="1">
      <c r="A389" s="1"/>
      <c r="C389" s="14"/>
      <c r="N389" s="1"/>
    </row>
    <row r="390" ht="15.75" hidden="1" customHeight="1">
      <c r="A390" s="1"/>
      <c r="C390" s="14"/>
      <c r="N390" s="1"/>
    </row>
    <row r="391" ht="15.75" hidden="1" customHeight="1">
      <c r="A391" s="1"/>
      <c r="C391" s="14"/>
      <c r="N391" s="1"/>
    </row>
    <row r="392" ht="15.75" hidden="1" customHeight="1">
      <c r="A392" s="1"/>
      <c r="C392" s="14"/>
      <c r="N392" s="1"/>
    </row>
    <row r="393" ht="15.75" hidden="1" customHeight="1">
      <c r="A393" s="1"/>
      <c r="C393" s="14"/>
      <c r="N393" s="1"/>
    </row>
    <row r="394" ht="15.75" hidden="1" customHeight="1">
      <c r="A394" s="1"/>
      <c r="C394" s="14"/>
      <c r="N394" s="1"/>
    </row>
    <row r="395" ht="15.75" hidden="1" customHeight="1">
      <c r="A395" s="1"/>
      <c r="C395" s="14"/>
      <c r="N395" s="1"/>
    </row>
    <row r="396" ht="15.75" hidden="1" customHeight="1">
      <c r="A396" s="1"/>
      <c r="C396" s="14"/>
      <c r="N396" s="1"/>
    </row>
    <row r="397" ht="15.75" hidden="1" customHeight="1">
      <c r="A397" s="1"/>
      <c r="C397" s="14"/>
      <c r="N397" s="1"/>
    </row>
    <row r="398" ht="15.75" hidden="1" customHeight="1">
      <c r="A398" s="1"/>
      <c r="C398" s="14"/>
      <c r="N398" s="1"/>
    </row>
    <row r="399" ht="15.75" hidden="1" customHeight="1">
      <c r="A399" s="1"/>
      <c r="C399" s="14"/>
      <c r="N399" s="1"/>
    </row>
    <row r="400" ht="15.75" hidden="1" customHeight="1">
      <c r="A400" s="1"/>
      <c r="C400" s="14"/>
      <c r="N400" s="1"/>
    </row>
    <row r="401" ht="15.75" hidden="1" customHeight="1">
      <c r="A401" s="1"/>
      <c r="C401" s="14"/>
      <c r="N401" s="1"/>
    </row>
    <row r="402" ht="15.75" hidden="1" customHeight="1">
      <c r="A402" s="1"/>
      <c r="C402" s="14"/>
      <c r="N402" s="1"/>
    </row>
    <row r="403" ht="15.75" hidden="1" customHeight="1">
      <c r="A403" s="1"/>
      <c r="C403" s="14"/>
      <c r="N403" s="1"/>
    </row>
    <row r="404" ht="15.75" hidden="1" customHeight="1">
      <c r="A404" s="1"/>
      <c r="C404" s="14"/>
      <c r="N404" s="1"/>
    </row>
    <row r="405" ht="15.75" hidden="1" customHeight="1">
      <c r="A405" s="1"/>
      <c r="C405" s="14"/>
      <c r="N405" s="1"/>
    </row>
    <row r="406" ht="15.75" hidden="1" customHeight="1">
      <c r="A406" s="1"/>
      <c r="C406" s="14"/>
      <c r="N406" s="1"/>
    </row>
    <row r="407" ht="15.75" hidden="1" customHeight="1">
      <c r="A407" s="1"/>
      <c r="C407" s="14"/>
      <c r="N407" s="1"/>
    </row>
    <row r="408" ht="15.75" hidden="1" customHeight="1">
      <c r="A408" s="1"/>
      <c r="C408" s="14"/>
      <c r="N408" s="1"/>
    </row>
    <row r="409" ht="15.75" hidden="1" customHeight="1">
      <c r="A409" s="1"/>
      <c r="C409" s="14"/>
      <c r="N409" s="1"/>
    </row>
    <row r="410" ht="15.75" hidden="1" customHeight="1">
      <c r="A410" s="1"/>
      <c r="C410" s="14"/>
      <c r="N410" s="1"/>
    </row>
    <row r="411" ht="15.75" hidden="1" customHeight="1">
      <c r="A411" s="1"/>
      <c r="C411" s="14"/>
      <c r="N411" s="1"/>
    </row>
    <row r="412" ht="15.75" hidden="1" customHeight="1">
      <c r="A412" s="1"/>
      <c r="C412" s="14"/>
      <c r="N412" s="1"/>
    </row>
    <row r="413" ht="15.75" hidden="1" customHeight="1">
      <c r="A413" s="1"/>
      <c r="C413" s="14"/>
      <c r="N413" s="1"/>
    </row>
    <row r="414" ht="15.75" hidden="1" customHeight="1">
      <c r="A414" s="1"/>
      <c r="C414" s="14"/>
      <c r="N414" s="1"/>
    </row>
    <row r="415" ht="15.75" hidden="1" customHeight="1">
      <c r="A415" s="1"/>
      <c r="C415" s="14"/>
      <c r="N415" s="1"/>
    </row>
    <row r="416" ht="15.75" hidden="1" customHeight="1">
      <c r="A416" s="1"/>
      <c r="C416" s="14"/>
      <c r="N416" s="1"/>
    </row>
    <row r="417" ht="15.75" hidden="1" customHeight="1">
      <c r="A417" s="1"/>
      <c r="C417" s="14"/>
      <c r="N417" s="1"/>
    </row>
    <row r="418" ht="15.75" hidden="1" customHeight="1">
      <c r="A418" s="1"/>
      <c r="C418" s="14"/>
      <c r="N418" s="1"/>
    </row>
    <row r="419" ht="15.75" hidden="1" customHeight="1">
      <c r="A419" s="1"/>
      <c r="C419" s="14"/>
      <c r="N419" s="1"/>
    </row>
    <row r="420" ht="15.75" hidden="1" customHeight="1">
      <c r="A420" s="1"/>
      <c r="C420" s="14"/>
      <c r="N420" s="1"/>
    </row>
    <row r="421" ht="15.75" hidden="1" customHeight="1">
      <c r="A421" s="1"/>
      <c r="C421" s="14"/>
      <c r="N421" s="1"/>
    </row>
    <row r="422" ht="15.75" hidden="1" customHeight="1">
      <c r="A422" s="1"/>
      <c r="C422" s="14"/>
      <c r="N422" s="1"/>
    </row>
    <row r="423" ht="15.75" hidden="1" customHeight="1">
      <c r="A423" s="1"/>
      <c r="C423" s="14"/>
      <c r="N423" s="1"/>
    </row>
    <row r="424" ht="15.75" hidden="1" customHeight="1">
      <c r="A424" s="1"/>
      <c r="C424" s="14"/>
      <c r="N424" s="1"/>
    </row>
    <row r="425" ht="15.75" hidden="1" customHeight="1">
      <c r="A425" s="1"/>
      <c r="C425" s="14"/>
      <c r="N425" s="1"/>
    </row>
    <row r="426" ht="15.75" hidden="1" customHeight="1">
      <c r="A426" s="1"/>
      <c r="C426" s="14"/>
      <c r="N426" s="1"/>
    </row>
    <row r="427" ht="15.75" hidden="1" customHeight="1">
      <c r="A427" s="1"/>
      <c r="C427" s="14"/>
      <c r="N427" s="1"/>
    </row>
    <row r="428" ht="15.75" hidden="1" customHeight="1">
      <c r="A428" s="1"/>
      <c r="C428" s="14"/>
      <c r="N428" s="1"/>
    </row>
    <row r="429" ht="15.75" hidden="1" customHeight="1">
      <c r="A429" s="1"/>
      <c r="C429" s="14"/>
      <c r="N429" s="1"/>
    </row>
    <row r="430" ht="15.75" hidden="1" customHeight="1">
      <c r="A430" s="1"/>
      <c r="C430" s="14"/>
      <c r="N430" s="1"/>
    </row>
    <row r="431" ht="15.75" hidden="1" customHeight="1">
      <c r="A431" s="1"/>
      <c r="C431" s="14"/>
      <c r="N431" s="1"/>
    </row>
    <row r="432" ht="15.75" hidden="1" customHeight="1">
      <c r="A432" s="1"/>
      <c r="C432" s="14"/>
      <c r="N432" s="1"/>
    </row>
    <row r="433" ht="15.75" hidden="1" customHeight="1">
      <c r="A433" s="1"/>
      <c r="C433" s="14"/>
      <c r="N433" s="1"/>
    </row>
    <row r="434" ht="15.75" hidden="1" customHeight="1">
      <c r="A434" s="1"/>
      <c r="C434" s="14"/>
      <c r="N434" s="1"/>
    </row>
    <row r="435" ht="15.75" hidden="1" customHeight="1">
      <c r="A435" s="1"/>
      <c r="C435" s="14"/>
      <c r="N435" s="1"/>
    </row>
    <row r="436" ht="15.75" hidden="1" customHeight="1">
      <c r="A436" s="1"/>
      <c r="C436" s="14"/>
      <c r="N436" s="1"/>
    </row>
    <row r="437" ht="15.75" hidden="1" customHeight="1">
      <c r="A437" s="1"/>
      <c r="C437" s="14"/>
      <c r="N437" s="1"/>
    </row>
    <row r="438" ht="15.75" hidden="1" customHeight="1">
      <c r="A438" s="1"/>
      <c r="C438" s="14"/>
      <c r="N438" s="1"/>
    </row>
    <row r="439" ht="15.75" hidden="1" customHeight="1">
      <c r="A439" s="1"/>
      <c r="C439" s="14"/>
      <c r="N439" s="1"/>
    </row>
    <row r="440" ht="15.75" hidden="1" customHeight="1">
      <c r="A440" s="1"/>
      <c r="C440" s="14"/>
      <c r="N440" s="1"/>
    </row>
    <row r="441" ht="15.75" hidden="1" customHeight="1">
      <c r="A441" s="1"/>
      <c r="C441" s="14"/>
      <c r="N441" s="1"/>
    </row>
    <row r="442" ht="15.75" hidden="1" customHeight="1">
      <c r="A442" s="1"/>
      <c r="C442" s="14"/>
      <c r="N442" s="1"/>
    </row>
    <row r="443" ht="15.75" hidden="1" customHeight="1">
      <c r="A443" s="1"/>
      <c r="C443" s="14"/>
      <c r="N443" s="1"/>
    </row>
    <row r="444" ht="15.75" hidden="1" customHeight="1">
      <c r="A444" s="1"/>
      <c r="C444" s="14"/>
      <c r="N444" s="1"/>
    </row>
    <row r="445" ht="15.75" hidden="1" customHeight="1">
      <c r="A445" s="1"/>
      <c r="C445" s="14"/>
      <c r="N445" s="1"/>
    </row>
    <row r="446" ht="15.75" hidden="1" customHeight="1">
      <c r="A446" s="1"/>
      <c r="C446" s="14"/>
      <c r="N446" s="1"/>
    </row>
    <row r="447" ht="15.75" hidden="1" customHeight="1">
      <c r="A447" s="1"/>
      <c r="C447" s="14"/>
      <c r="N447" s="1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0">
    <mergeCell ref="D127:H127"/>
    <mergeCell ref="B130:M132"/>
    <mergeCell ref="D134:H134"/>
    <mergeCell ref="I134:L134"/>
    <mergeCell ref="D135:H135"/>
    <mergeCell ref="I135:L135"/>
    <mergeCell ref="I136:L136"/>
    <mergeCell ref="I141:L141"/>
    <mergeCell ref="I142:L142"/>
    <mergeCell ref="I143:L143"/>
    <mergeCell ref="I144:L144"/>
    <mergeCell ref="I145:L145"/>
    <mergeCell ref="B146:M146"/>
    <mergeCell ref="I147:L147"/>
    <mergeCell ref="I148:L148"/>
    <mergeCell ref="D136:H136"/>
    <mergeCell ref="D137:H137"/>
    <mergeCell ref="I137:L137"/>
    <mergeCell ref="D138:H138"/>
    <mergeCell ref="I138:L138"/>
    <mergeCell ref="I139:L139"/>
    <mergeCell ref="B140:M140"/>
    <mergeCell ref="D139:H139"/>
    <mergeCell ref="D141:H141"/>
    <mergeCell ref="D142:H142"/>
    <mergeCell ref="D143:H143"/>
    <mergeCell ref="D144:H144"/>
    <mergeCell ref="D145:H145"/>
    <mergeCell ref="D147:H147"/>
    <mergeCell ref="D151:H151"/>
    <mergeCell ref="D153:H153"/>
    <mergeCell ref="D154:H154"/>
    <mergeCell ref="D155:H155"/>
    <mergeCell ref="D156:H156"/>
    <mergeCell ref="D157:H157"/>
    <mergeCell ref="D148:H148"/>
    <mergeCell ref="D149:H149"/>
    <mergeCell ref="I149:L149"/>
    <mergeCell ref="D150:H150"/>
    <mergeCell ref="I150:L150"/>
    <mergeCell ref="I151:L151"/>
    <mergeCell ref="B152:M152"/>
    <mergeCell ref="I153:L153"/>
    <mergeCell ref="I154:L154"/>
    <mergeCell ref="I155:L155"/>
    <mergeCell ref="I156:L156"/>
    <mergeCell ref="I157:L157"/>
    <mergeCell ref="B160:M162"/>
    <mergeCell ref="I164:L164"/>
    <mergeCell ref="D164:H164"/>
    <mergeCell ref="D165:H165"/>
    <mergeCell ref="I165:L165"/>
    <mergeCell ref="D166:H166"/>
    <mergeCell ref="I166:L166"/>
    <mergeCell ref="D167:H167"/>
    <mergeCell ref="I167:L167"/>
    <mergeCell ref="D168:H168"/>
    <mergeCell ref="I168:L168"/>
    <mergeCell ref="D169:H169"/>
    <mergeCell ref="I169:L169"/>
    <mergeCell ref="B170:M170"/>
    <mergeCell ref="D171:H171"/>
    <mergeCell ref="I171:L171"/>
    <mergeCell ref="D172:H172"/>
    <mergeCell ref="I172:L172"/>
    <mergeCell ref="D173:H173"/>
    <mergeCell ref="I173:L173"/>
    <mergeCell ref="D174:H174"/>
    <mergeCell ref="I174:L174"/>
    <mergeCell ref="I175:L175"/>
    <mergeCell ref="D175:H175"/>
    <mergeCell ref="B176:M176"/>
    <mergeCell ref="D177:H177"/>
    <mergeCell ref="I177:L177"/>
    <mergeCell ref="D178:H178"/>
    <mergeCell ref="I178:L178"/>
    <mergeCell ref="I179:L179"/>
    <mergeCell ref="D179:H179"/>
    <mergeCell ref="D180:H180"/>
    <mergeCell ref="I180:L180"/>
    <mergeCell ref="D181:H181"/>
    <mergeCell ref="I181:L181"/>
    <mergeCell ref="B182:M182"/>
    <mergeCell ref="I183:L183"/>
    <mergeCell ref="D183:H183"/>
    <mergeCell ref="D184:H184"/>
    <mergeCell ref="I184:L184"/>
    <mergeCell ref="D185:H185"/>
    <mergeCell ref="I185:L185"/>
    <mergeCell ref="D186:H186"/>
    <mergeCell ref="I186:L186"/>
    <mergeCell ref="D187:H187"/>
    <mergeCell ref="I187:L187"/>
    <mergeCell ref="B190:M192"/>
    <mergeCell ref="D194:H194"/>
    <mergeCell ref="I194:L194"/>
    <mergeCell ref="D195:H195"/>
    <mergeCell ref="I195:L195"/>
    <mergeCell ref="D224:H224"/>
    <mergeCell ref="I224:L224"/>
    <mergeCell ref="D225:H225"/>
    <mergeCell ref="I225:L225"/>
    <mergeCell ref="D226:H226"/>
    <mergeCell ref="I226:L226"/>
    <mergeCell ref="I227:L227"/>
    <mergeCell ref="D227:H227"/>
    <mergeCell ref="D228:H228"/>
    <mergeCell ref="I228:L228"/>
    <mergeCell ref="D229:H229"/>
    <mergeCell ref="I229:L229"/>
    <mergeCell ref="B230:M230"/>
    <mergeCell ref="I231:L231"/>
    <mergeCell ref="D196:H196"/>
    <mergeCell ref="I196:L196"/>
    <mergeCell ref="D197:H197"/>
    <mergeCell ref="I197:L197"/>
    <mergeCell ref="D198:H198"/>
    <mergeCell ref="I198:L198"/>
    <mergeCell ref="I199:L199"/>
    <mergeCell ref="D199:H199"/>
    <mergeCell ref="B200:M200"/>
    <mergeCell ref="D201:H201"/>
    <mergeCell ref="I201:L201"/>
    <mergeCell ref="D202:H202"/>
    <mergeCell ref="I202:L202"/>
    <mergeCell ref="I203:L203"/>
    <mergeCell ref="D203:H203"/>
    <mergeCell ref="D204:H204"/>
    <mergeCell ref="I204:L204"/>
    <mergeCell ref="D205:H205"/>
    <mergeCell ref="I205:L205"/>
    <mergeCell ref="B206:M206"/>
    <mergeCell ref="I207:L207"/>
    <mergeCell ref="D207:H207"/>
    <mergeCell ref="D208:H208"/>
    <mergeCell ref="I208:L208"/>
    <mergeCell ref="D209:H209"/>
    <mergeCell ref="I209:L209"/>
    <mergeCell ref="D210:H210"/>
    <mergeCell ref="I210:L210"/>
    <mergeCell ref="D211:H211"/>
    <mergeCell ref="I211:L211"/>
    <mergeCell ref="B212:M212"/>
    <mergeCell ref="D213:H213"/>
    <mergeCell ref="I213:L213"/>
    <mergeCell ref="D214:H214"/>
    <mergeCell ref="I214:L214"/>
    <mergeCell ref="D215:H215"/>
    <mergeCell ref="I215:L215"/>
    <mergeCell ref="D216:H216"/>
    <mergeCell ref="I216:L216"/>
    <mergeCell ref="D217:H217"/>
    <mergeCell ref="I217:L217"/>
    <mergeCell ref="B220:M222"/>
    <mergeCell ref="D231:H231"/>
    <mergeCell ref="D232:H232"/>
    <mergeCell ref="I232:L232"/>
    <mergeCell ref="D233:H233"/>
    <mergeCell ref="I233:L233"/>
    <mergeCell ref="D234:H234"/>
    <mergeCell ref="I234:L234"/>
    <mergeCell ref="B2:M4"/>
    <mergeCell ref="B5:M7"/>
    <mergeCell ref="B10:M12"/>
    <mergeCell ref="D14:H14"/>
    <mergeCell ref="I14:L14"/>
    <mergeCell ref="D15:H15"/>
    <mergeCell ref="I15:L15"/>
    <mergeCell ref="D16:H16"/>
    <mergeCell ref="I16:L16"/>
    <mergeCell ref="D17:H17"/>
    <mergeCell ref="I17:L17"/>
    <mergeCell ref="D18:H18"/>
    <mergeCell ref="I18:L18"/>
    <mergeCell ref="I19:L19"/>
    <mergeCell ref="D19:H19"/>
    <mergeCell ref="B20:M20"/>
    <mergeCell ref="D21:H21"/>
    <mergeCell ref="I21:L21"/>
    <mergeCell ref="D22:H22"/>
    <mergeCell ref="I22:L22"/>
    <mergeCell ref="I23:L23"/>
    <mergeCell ref="D23:H23"/>
    <mergeCell ref="D24:H24"/>
    <mergeCell ref="I24:L24"/>
    <mergeCell ref="D25:H25"/>
    <mergeCell ref="I25:L25"/>
    <mergeCell ref="B26:M26"/>
    <mergeCell ref="I27:L27"/>
    <mergeCell ref="D27:H27"/>
    <mergeCell ref="D28:H28"/>
    <mergeCell ref="I28:L28"/>
    <mergeCell ref="D29:H29"/>
    <mergeCell ref="I29:L29"/>
    <mergeCell ref="D30:H30"/>
    <mergeCell ref="I30:L30"/>
    <mergeCell ref="D31:H31"/>
    <mergeCell ref="I31:L31"/>
    <mergeCell ref="B32:M32"/>
    <mergeCell ref="D33:H33"/>
    <mergeCell ref="I33:L33"/>
    <mergeCell ref="D34:H34"/>
    <mergeCell ref="I34:L34"/>
    <mergeCell ref="D35:H35"/>
    <mergeCell ref="I35:L35"/>
    <mergeCell ref="D36:H36"/>
    <mergeCell ref="I36:L36"/>
    <mergeCell ref="D37:H37"/>
    <mergeCell ref="I37:L37"/>
    <mergeCell ref="B40:M42"/>
    <mergeCell ref="D44:H44"/>
    <mergeCell ref="I44:L44"/>
    <mergeCell ref="D45:H45"/>
    <mergeCell ref="I45:L45"/>
    <mergeCell ref="D46:H46"/>
    <mergeCell ref="I46:L46"/>
    <mergeCell ref="I47:L47"/>
    <mergeCell ref="D47:H47"/>
    <mergeCell ref="D48:H48"/>
    <mergeCell ref="I48:L48"/>
    <mergeCell ref="D49:H49"/>
    <mergeCell ref="I49:L49"/>
    <mergeCell ref="B50:M50"/>
    <mergeCell ref="I51:L51"/>
    <mergeCell ref="D51:H51"/>
    <mergeCell ref="D52:H52"/>
    <mergeCell ref="I52:L52"/>
    <mergeCell ref="D53:H53"/>
    <mergeCell ref="I53:L53"/>
    <mergeCell ref="D54:H54"/>
    <mergeCell ref="I54:L54"/>
    <mergeCell ref="D55:H55"/>
    <mergeCell ref="I55:L55"/>
    <mergeCell ref="B56:M56"/>
    <mergeCell ref="D57:H57"/>
    <mergeCell ref="I57:L57"/>
    <mergeCell ref="D58:H58"/>
    <mergeCell ref="I58:L58"/>
    <mergeCell ref="D59:H59"/>
    <mergeCell ref="I59:L59"/>
    <mergeCell ref="D60:H60"/>
    <mergeCell ref="I60:L60"/>
    <mergeCell ref="D61:H61"/>
    <mergeCell ref="I61:L61"/>
    <mergeCell ref="B62:M62"/>
    <mergeCell ref="D63:H63"/>
    <mergeCell ref="I63:L63"/>
    <mergeCell ref="D64:H64"/>
    <mergeCell ref="I64:L64"/>
    <mergeCell ref="D65:H65"/>
    <mergeCell ref="I65:L65"/>
    <mergeCell ref="I66:L66"/>
    <mergeCell ref="D66:H66"/>
    <mergeCell ref="D67:H67"/>
    <mergeCell ref="I67:L67"/>
    <mergeCell ref="B70:M72"/>
    <mergeCell ref="D74:H74"/>
    <mergeCell ref="I74:L74"/>
    <mergeCell ref="I75:L75"/>
    <mergeCell ref="B100:M102"/>
    <mergeCell ref="D104:H104"/>
    <mergeCell ref="I104:L104"/>
    <mergeCell ref="D105:H105"/>
    <mergeCell ref="I105:L105"/>
    <mergeCell ref="D106:H106"/>
    <mergeCell ref="I106:L106"/>
    <mergeCell ref="D107:H107"/>
    <mergeCell ref="I107:L107"/>
    <mergeCell ref="D108:H108"/>
    <mergeCell ref="I108:L108"/>
    <mergeCell ref="D109:H109"/>
    <mergeCell ref="I109:L109"/>
    <mergeCell ref="B110:M110"/>
    <mergeCell ref="D111:H111"/>
    <mergeCell ref="I111:L111"/>
    <mergeCell ref="D112:H112"/>
    <mergeCell ref="I112:L112"/>
    <mergeCell ref="D113:H113"/>
    <mergeCell ref="I113:L113"/>
    <mergeCell ref="I114:L114"/>
    <mergeCell ref="D114:H114"/>
    <mergeCell ref="D115:H115"/>
    <mergeCell ref="I115:L115"/>
    <mergeCell ref="B116:M116"/>
    <mergeCell ref="D117:H117"/>
    <mergeCell ref="I117:L117"/>
    <mergeCell ref="I118:L118"/>
    <mergeCell ref="D121:H121"/>
    <mergeCell ref="D123:H123"/>
    <mergeCell ref="D124:H124"/>
    <mergeCell ref="D118:H118"/>
    <mergeCell ref="D119:H119"/>
    <mergeCell ref="I119:L119"/>
    <mergeCell ref="D120:H120"/>
    <mergeCell ref="I120:L120"/>
    <mergeCell ref="I121:L121"/>
    <mergeCell ref="B122:M122"/>
    <mergeCell ref="D75:H75"/>
    <mergeCell ref="D76:H76"/>
    <mergeCell ref="I76:L76"/>
    <mergeCell ref="D77:H77"/>
    <mergeCell ref="I77:L77"/>
    <mergeCell ref="D78:H78"/>
    <mergeCell ref="I78:L78"/>
    <mergeCell ref="D79:H79"/>
    <mergeCell ref="I79:L79"/>
    <mergeCell ref="B80:M80"/>
    <mergeCell ref="D81:H81"/>
    <mergeCell ref="I81:L81"/>
    <mergeCell ref="D82:H82"/>
    <mergeCell ref="I82:L82"/>
    <mergeCell ref="D83:H83"/>
    <mergeCell ref="I83:L83"/>
    <mergeCell ref="D84:H84"/>
    <mergeCell ref="I84:L84"/>
    <mergeCell ref="D85:H85"/>
    <mergeCell ref="I85:L85"/>
    <mergeCell ref="B86:M86"/>
    <mergeCell ref="D87:H87"/>
    <mergeCell ref="I87:L87"/>
    <mergeCell ref="D88:H88"/>
    <mergeCell ref="I88:L88"/>
    <mergeCell ref="D89:H89"/>
    <mergeCell ref="I89:L89"/>
    <mergeCell ref="I90:L90"/>
    <mergeCell ref="D90:H90"/>
    <mergeCell ref="D91:H91"/>
    <mergeCell ref="I91:L91"/>
    <mergeCell ref="B92:M92"/>
    <mergeCell ref="D93:H93"/>
    <mergeCell ref="I93:L93"/>
    <mergeCell ref="I94:L94"/>
    <mergeCell ref="D94:H94"/>
    <mergeCell ref="D95:H95"/>
    <mergeCell ref="I95:L95"/>
    <mergeCell ref="D96:H96"/>
    <mergeCell ref="I96:L96"/>
    <mergeCell ref="D97:H97"/>
    <mergeCell ref="I97:L97"/>
    <mergeCell ref="I123:L123"/>
    <mergeCell ref="I124:L124"/>
    <mergeCell ref="D125:H125"/>
    <mergeCell ref="I125:L125"/>
    <mergeCell ref="D126:H126"/>
    <mergeCell ref="I126:L126"/>
    <mergeCell ref="I127:L127"/>
    <mergeCell ref="D235:H235"/>
    <mergeCell ref="I235:L235"/>
    <mergeCell ref="B236:M236"/>
    <mergeCell ref="D237:H237"/>
    <mergeCell ref="I237:L237"/>
    <mergeCell ref="D238:H238"/>
    <mergeCell ref="I238:L238"/>
    <mergeCell ref="D239:H239"/>
    <mergeCell ref="I239:L239"/>
    <mergeCell ref="D240:H240"/>
    <mergeCell ref="I240:L240"/>
    <mergeCell ref="D241:H241"/>
    <mergeCell ref="I241:L241"/>
    <mergeCell ref="B242:M242"/>
    <mergeCell ref="D246:H246"/>
    <mergeCell ref="D247:H247"/>
    <mergeCell ref="I247:L247"/>
    <mergeCell ref="D243:H243"/>
    <mergeCell ref="I243:L243"/>
    <mergeCell ref="D244:H244"/>
    <mergeCell ref="I244:L244"/>
    <mergeCell ref="D245:H245"/>
    <mergeCell ref="I245:L245"/>
    <mergeCell ref="I246:L246"/>
  </mergeCells>
  <conditionalFormatting sqref="M15:M19 M21:M25 M27:M31 M33:M37 M43:M49 M51:M55 M57:M61 M63:M68 M73:M79 M81:M85 M87:M91 M93:M98 M105:M109 M111:M115 M117:M121 M123:M127 M135:M139 M141:M145 M147:M151 M153:M157 M165:M169 M171:M175 M177:M181 M183:M188 M195:M199 M201:M205 M207:M211 M213:M217 M225:M229 M231:M235 M237:M241 M243:M247">
    <cfRule type="containsText" dxfId="0" priority="1" operator="containsText" text="Público Criado">
      <formula>NOT(ISERROR(SEARCH(("Público Criado"),(M15))))</formula>
    </cfRule>
  </conditionalFormatting>
  <conditionalFormatting sqref="M15:M19 M21:M25 M27:M31 M33:M37 M43:M49 M51:M55 M57:M61 M63:M68 M73:M79 M81:M85 M87:M91 M93:M98 M105:M109 M111:M115 M117:M121 M123:M127 M135:M139 M141:M145 M147:M151 M153:M157 M165:M169 M171:M175 M177:M181 M183:M188 M195:M199 M201:M205 M207:M211 M213:M217 M225:M229 M231:M235 M237:M241 M243:M247">
    <cfRule type="containsText" dxfId="1" priority="2" operator="containsText" text="Público Pendente">
      <formula>NOT(ISERROR(SEARCH(("Público Pendente"),(M15))))</formula>
    </cfRule>
  </conditionalFormatting>
  <conditionalFormatting sqref="M1 M8:M9 M13:M19 M21:M25 M27:M31 M33:M39 M43:M49 M51:M55 M57:M61 M63:M69 M73:M79 M81:M85 M87:M91 M93:M99 M103:M109 M111:M115 M117:M121 M123:M129 M133:M139 M141:M145 M147:M151 M153:M159 M163:M169 M171:M175 M177:M181 M183:M189 M193:M199 M201:M205 M207:M211 M213:M219 M223:M229 M231:M235 M237:M241 M243:M1000">
    <cfRule type="containsText" dxfId="1" priority="3" operator="containsText" text="Atrasado">
      <formula>NOT(ISERROR(SEARCH(("Atrasado"),(M1))))</formula>
    </cfRule>
  </conditionalFormatting>
  <conditionalFormatting sqref="M1 M8:M9 M13:M19 M21:M25 M27:M31 M33:M39 M43:M49 M51:M55 M57:M61 M63:M69 M73:M79 M81:M85 M87:M91 M93:M99 M103:M109 M111:M115 M117:M121 M123:M129 M133:M139 M141:M145 M147:M151 M153:M159 M163:M169 M171:M175 M177:M181 M183:M189 M193:M199 M201:M205 M207:M211 M213:M219 M223:M229 M231:M235 M237:M241 M243:M1000">
    <cfRule type="containsText" dxfId="2" priority="4" operator="containsText" text="Faltam">
      <formula>NOT(ISERROR(SEARCH(("Faltam"),(M1))))</formula>
    </cfRule>
  </conditionalFormatting>
  <conditionalFormatting sqref="M1 M8:M9 M13:M19 M21:M25 M27:M31 M33:M39 M43:M49 M51:M55 M57:M61 M63:M69 M73:M79 M81:M85 M87:M91 M93:M99 M103:M109 M111:M115 M117:M121 M123:M129 M133:M139 M141:M145 M147:M151 M153:M159 M163:M169 M171:M175 M177:M181 M183:M189 M193:M199 M201:M205 M207:M211 M213:M219 M223:M229 M231:M235 M237:M241 M243:M1000">
    <cfRule type="containsText" dxfId="2" priority="5" operator="containsText" text="É pra">
      <formula>NOT(ISERROR(SEARCH(("É pra"),(M1))))</formula>
    </cfRule>
  </conditionalFormatting>
  <conditionalFormatting sqref="M1 M8:M9 M13:M19 M21:M25 M27:M31 M33:M39 M43:M49 M51:M55 M57:M61 M63:M69 M73:M79 M81:M85 M87:M91 M93:M99 M103:M109 M111:M115 M117:M121 M123:M129 M133:M139 M141:M145 M147:M151 M153:M159 M163:M169 M171:M175 M177:M181 M183:M189 M193:M199 M201:M205 M207:M211 M213:M219 M223:M229 M231:M235 M237:M241 M243:M1000">
    <cfRule type="containsText" dxfId="0" priority="6" operator="containsText" text="Atividade Concluída">
      <formula>NOT(ISERROR(SEARCH(("Atividade Concluída"),(M1))))</formula>
    </cfRule>
  </conditionalFormatting>
  <conditionalFormatting sqref="M1 M8:M9 M13:M19 M21:M25 M27:M31 M33:M39 M43:M49 M51:M55 M57:M61 M63:M69 M73:M79 M81:M85 M87:M91 M93:M99 M103:M109 M111:M115 M117:M121 M123:M129 M133:M139 M141:M145 M147:M151 M153:M159 M163:M169 M171:M175 M177:M181 M183:M189 M193:M199 M201:M205 M207:M211 M213:M219 M223:M229 M231:M235 M237:M241 M243:M1000">
    <cfRule type="containsText" dxfId="3" priority="7" operator="containsText" text="Pendente">
      <formula>NOT(ISERROR(SEARCH(("Pendente"),(M1))))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4.13"/>
    <col customWidth="1" min="4" max="8" width="9.38"/>
    <col customWidth="1" min="9" max="12" width="24.75"/>
    <col customWidth="1" min="13" max="13" width="17.75"/>
    <col customWidth="1" min="14" max="14" width="3.13"/>
    <col hidden="1" min="15" max="29" width="12.63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15.75" customHeight="1">
      <c r="A3" s="7"/>
      <c r="B3" s="8"/>
      <c r="M3" s="9"/>
      <c r="N3" s="7"/>
    </row>
    <row r="4" ht="15.75" customHeight="1">
      <c r="A4" s="7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7"/>
    </row>
    <row r="5" ht="15.75" customHeight="1">
      <c r="A5" s="7"/>
      <c r="B5" s="13" t="s">
        <v>425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7"/>
    </row>
    <row r="6" ht="15.75" customHeight="1">
      <c r="A6" s="7"/>
      <c r="B6" s="8"/>
      <c r="M6" s="9"/>
      <c r="N6" s="7"/>
    </row>
    <row r="7" ht="15.75" customHeight="1">
      <c r="A7" s="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7"/>
    </row>
    <row r="8" ht="15.75" customHeight="1">
      <c r="A8" s="1"/>
      <c r="C8" s="14"/>
      <c r="N8" s="1"/>
    </row>
    <row r="9" ht="15.75" customHeight="1">
      <c r="A9" s="1"/>
      <c r="C9" s="14"/>
      <c r="N9" s="1"/>
    </row>
    <row r="10" ht="15.75" customHeight="1">
      <c r="A10" s="1"/>
      <c r="B10" s="15" t="s">
        <v>430</v>
      </c>
      <c r="N10" s="1"/>
    </row>
    <row r="11" ht="15.75" customHeight="1">
      <c r="A11" s="1"/>
      <c r="N11" s="1"/>
    </row>
    <row r="12" ht="15.75" customHeight="1">
      <c r="A12" s="1"/>
      <c r="N12" s="1"/>
    </row>
    <row r="13" ht="15.75" customHeight="1">
      <c r="A13" s="1"/>
      <c r="C13" s="14"/>
      <c r="N13" s="1"/>
    </row>
    <row r="14" ht="15.75" customHeight="1">
      <c r="A14" s="1"/>
      <c r="B14" s="16"/>
      <c r="C14" s="16" t="s">
        <v>4</v>
      </c>
      <c r="D14" s="17" t="s">
        <v>5</v>
      </c>
      <c r="E14" s="18"/>
      <c r="F14" s="18"/>
      <c r="G14" s="18"/>
      <c r="H14" s="19"/>
      <c r="I14" s="20" t="s">
        <v>6</v>
      </c>
      <c r="J14" s="18"/>
      <c r="K14" s="18"/>
      <c r="L14" s="19"/>
      <c r="M14" s="16" t="s">
        <v>7</v>
      </c>
      <c r="N14" s="1"/>
    </row>
    <row r="15" ht="15.75" customHeight="1">
      <c r="A15" s="1"/>
      <c r="B15" s="21" t="b">
        <v>0</v>
      </c>
      <c r="C15" s="22">
        <v>1.0</v>
      </c>
      <c r="D15" s="23" t="s">
        <v>440</v>
      </c>
      <c r="E15" s="18"/>
      <c r="F15" s="18"/>
      <c r="G15" s="18"/>
      <c r="H15" s="19"/>
      <c r="I15" s="24" t="s">
        <v>442</v>
      </c>
      <c r="J15" s="18"/>
      <c r="K15" s="18"/>
      <c r="L15" s="19"/>
      <c r="M15" s="22" t="str">
        <f t="shared" ref="M15:M19" si="1">IF(B15=TRUE,"Público Criado","Público Pendente")</f>
        <v>Público Pendente</v>
      </c>
      <c r="N15" s="1"/>
    </row>
    <row r="16" ht="15.75" customHeight="1">
      <c r="A16" s="1"/>
      <c r="B16" s="21" t="b">
        <v>0</v>
      </c>
      <c r="C16" s="22">
        <v>2.0</v>
      </c>
      <c r="D16" s="23" t="s">
        <v>448</v>
      </c>
      <c r="E16" s="18"/>
      <c r="F16" s="18"/>
      <c r="G16" s="18"/>
      <c r="H16" s="19"/>
      <c r="I16" s="24" t="s">
        <v>449</v>
      </c>
      <c r="J16" s="18"/>
      <c r="K16" s="18"/>
      <c r="L16" s="19"/>
      <c r="M16" s="22" t="str">
        <f t="shared" si="1"/>
        <v>Público Pendente</v>
      </c>
      <c r="N16" s="1"/>
    </row>
    <row r="17" ht="15.75" customHeight="1">
      <c r="A17" s="1"/>
      <c r="B17" s="21" t="b">
        <v>0</v>
      </c>
      <c r="C17" s="22">
        <v>3.0</v>
      </c>
      <c r="D17" s="23" t="s">
        <v>450</v>
      </c>
      <c r="E17" s="18"/>
      <c r="F17" s="18"/>
      <c r="G17" s="18"/>
      <c r="H17" s="19"/>
      <c r="I17" s="24" t="s">
        <v>452</v>
      </c>
      <c r="J17" s="18"/>
      <c r="K17" s="18"/>
      <c r="L17" s="19"/>
      <c r="M17" s="22" t="str">
        <f t="shared" si="1"/>
        <v>Público Pendente</v>
      </c>
      <c r="N17" s="1"/>
    </row>
    <row r="18" ht="15.75" customHeight="1">
      <c r="A18" s="1"/>
      <c r="B18" s="21" t="b">
        <v>0</v>
      </c>
      <c r="C18" s="22">
        <v>4.0</v>
      </c>
      <c r="D18" s="23" t="s">
        <v>457</v>
      </c>
      <c r="E18" s="18"/>
      <c r="F18" s="18"/>
      <c r="G18" s="18"/>
      <c r="H18" s="19"/>
      <c r="I18" s="24" t="s">
        <v>459</v>
      </c>
      <c r="J18" s="18"/>
      <c r="K18" s="18"/>
      <c r="L18" s="19"/>
      <c r="M18" s="22" t="str">
        <f t="shared" si="1"/>
        <v>Público Pendente</v>
      </c>
      <c r="N18" s="1"/>
    </row>
    <row r="19" ht="15.75" customHeight="1">
      <c r="A19" s="1"/>
      <c r="B19" s="21" t="b">
        <v>0</v>
      </c>
      <c r="C19" s="22">
        <v>5.0</v>
      </c>
      <c r="D19" s="23" t="s">
        <v>461</v>
      </c>
      <c r="E19" s="18"/>
      <c r="F19" s="18"/>
      <c r="G19" s="18"/>
      <c r="H19" s="19"/>
      <c r="I19" s="24" t="s">
        <v>463</v>
      </c>
      <c r="J19" s="18"/>
      <c r="K19" s="18"/>
      <c r="L19" s="19"/>
      <c r="M19" s="22" t="str">
        <f t="shared" si="1"/>
        <v>Público Pendente</v>
      </c>
      <c r="N19" s="1"/>
    </row>
    <row r="20" ht="15.75" customHeight="1">
      <c r="A20" s="1"/>
      <c r="C20" s="14"/>
      <c r="N20" s="1"/>
    </row>
    <row r="21" ht="15.75" customHeight="1">
      <c r="A21" s="1"/>
      <c r="C21" s="14"/>
      <c r="N21" s="1"/>
    </row>
    <row r="22" ht="15.75" customHeight="1">
      <c r="A22" s="25"/>
      <c r="B22" s="26" t="s">
        <v>469</v>
      </c>
      <c r="N22" s="25"/>
    </row>
    <row r="23" ht="15.75" customHeight="1">
      <c r="A23" s="25"/>
      <c r="N23" s="25"/>
    </row>
    <row r="24" ht="15.75" customHeight="1">
      <c r="A24" s="25"/>
      <c r="N24" s="25"/>
    </row>
    <row r="25" ht="15.75" customHeight="1">
      <c r="A25" s="25"/>
      <c r="C25" s="14"/>
      <c r="N25" s="25"/>
    </row>
    <row r="26" ht="15.75" customHeight="1">
      <c r="A26" s="25"/>
      <c r="B26" s="27"/>
      <c r="C26" s="27" t="s">
        <v>4</v>
      </c>
      <c r="D26" s="28" t="s">
        <v>5</v>
      </c>
      <c r="E26" s="18"/>
      <c r="F26" s="18"/>
      <c r="G26" s="18"/>
      <c r="H26" s="19"/>
      <c r="I26" s="29" t="s">
        <v>6</v>
      </c>
      <c r="J26" s="18"/>
      <c r="K26" s="18"/>
      <c r="L26" s="19"/>
      <c r="M26" s="27" t="s">
        <v>7</v>
      </c>
      <c r="N26" s="25"/>
    </row>
    <row r="27" ht="15.75" customHeight="1">
      <c r="A27" s="25"/>
      <c r="B27" s="21" t="b">
        <v>0</v>
      </c>
      <c r="C27" s="22">
        <v>1.0</v>
      </c>
      <c r="D27" s="23" t="s">
        <v>476</v>
      </c>
      <c r="E27" s="18"/>
      <c r="F27" s="18"/>
      <c r="G27" s="18"/>
      <c r="H27" s="19"/>
      <c r="I27" s="24" t="s">
        <v>477</v>
      </c>
      <c r="J27" s="18"/>
      <c r="K27" s="18"/>
      <c r="L27" s="19"/>
      <c r="M27" s="22" t="str">
        <f t="shared" ref="M27:M31" si="2">IF(B27=TRUE,"Público Criado","Público Pendente")</f>
        <v>Público Pendente</v>
      </c>
      <c r="N27" s="25"/>
    </row>
    <row r="28" ht="15.75" customHeight="1">
      <c r="A28" s="25"/>
      <c r="B28" s="21" t="b">
        <v>0</v>
      </c>
      <c r="C28" s="22">
        <v>2.0</v>
      </c>
      <c r="D28" s="23" t="s">
        <v>480</v>
      </c>
      <c r="E28" s="18"/>
      <c r="F28" s="18"/>
      <c r="G28" s="18"/>
      <c r="H28" s="19"/>
      <c r="I28" s="24" t="s">
        <v>482</v>
      </c>
      <c r="J28" s="18"/>
      <c r="K28" s="18"/>
      <c r="L28" s="19"/>
      <c r="M28" s="22" t="str">
        <f t="shared" si="2"/>
        <v>Público Pendente</v>
      </c>
      <c r="N28" s="25"/>
    </row>
    <row r="29" ht="15.75" customHeight="1">
      <c r="A29" s="35"/>
      <c r="B29" s="59" t="b">
        <v>0</v>
      </c>
      <c r="C29" s="22">
        <v>3.0</v>
      </c>
      <c r="D29" s="23" t="s">
        <v>483</v>
      </c>
      <c r="E29" s="18"/>
      <c r="F29" s="18"/>
      <c r="G29" s="18"/>
      <c r="H29" s="19"/>
      <c r="I29" s="24" t="s">
        <v>486</v>
      </c>
      <c r="J29" s="18"/>
      <c r="K29" s="18"/>
      <c r="L29" s="19"/>
      <c r="M29" s="22" t="str">
        <f t="shared" si="2"/>
        <v>Público Pendente</v>
      </c>
      <c r="N29" s="4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</row>
    <row r="30" ht="15.75" customHeight="1">
      <c r="A30" s="35"/>
      <c r="B30" s="59" t="b">
        <v>0</v>
      </c>
      <c r="C30" s="22">
        <v>4.0</v>
      </c>
      <c r="D30" s="23" t="s">
        <v>490</v>
      </c>
      <c r="E30" s="18"/>
      <c r="F30" s="18"/>
      <c r="G30" s="18"/>
      <c r="H30" s="19"/>
      <c r="I30" s="24" t="s">
        <v>492</v>
      </c>
      <c r="J30" s="18"/>
      <c r="K30" s="18"/>
      <c r="L30" s="19"/>
      <c r="M30" s="22" t="str">
        <f t="shared" si="2"/>
        <v>Público Pendente</v>
      </c>
      <c r="N30" s="4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</row>
    <row r="31" ht="15.75" customHeight="1">
      <c r="A31" s="25"/>
      <c r="B31" s="21" t="b">
        <v>0</v>
      </c>
      <c r="C31" s="22">
        <v>5.0</v>
      </c>
      <c r="D31" s="23" t="s">
        <v>495</v>
      </c>
      <c r="E31" s="18"/>
      <c r="F31" s="18"/>
      <c r="G31" s="18"/>
      <c r="H31" s="19"/>
      <c r="I31" s="24" t="s">
        <v>496</v>
      </c>
      <c r="J31" s="18"/>
      <c r="K31" s="18"/>
      <c r="L31" s="19"/>
      <c r="M31" s="22" t="str">
        <f t="shared" si="2"/>
        <v>Público Pendente</v>
      </c>
      <c r="N31" s="25"/>
    </row>
    <row r="32" ht="15.75" customHeight="1">
      <c r="A32" s="25"/>
      <c r="C32" s="14"/>
      <c r="N32" s="25"/>
    </row>
    <row r="33" ht="15.75" customHeight="1">
      <c r="A33" s="25"/>
      <c r="C33" s="14"/>
      <c r="N33" s="25"/>
    </row>
    <row r="34" ht="15.75" hidden="1" customHeight="1">
      <c r="A34" s="1"/>
      <c r="C34" s="14"/>
      <c r="N34" s="1"/>
    </row>
    <row r="35" ht="15.75" hidden="1" customHeight="1">
      <c r="A35" s="1"/>
      <c r="C35" s="14"/>
      <c r="N35" s="1"/>
    </row>
    <row r="36" ht="15.75" hidden="1" customHeight="1">
      <c r="A36" s="1"/>
      <c r="C36" s="14"/>
      <c r="N36" s="1"/>
    </row>
    <row r="37" ht="15.75" hidden="1" customHeight="1">
      <c r="A37" s="1"/>
      <c r="C37" s="14"/>
      <c r="N37" s="1"/>
    </row>
    <row r="38" ht="15.75" hidden="1" customHeight="1">
      <c r="A38" s="1"/>
      <c r="C38" s="14"/>
      <c r="N38" s="1"/>
    </row>
    <row r="39" ht="15.75" hidden="1" customHeight="1">
      <c r="A39" s="1"/>
      <c r="C39" s="14"/>
      <c r="N39" s="1"/>
    </row>
    <row r="40" ht="15.75" hidden="1" customHeight="1">
      <c r="A40" s="1"/>
      <c r="C40" s="14"/>
      <c r="N40" s="1"/>
    </row>
    <row r="41" ht="15.75" hidden="1" customHeight="1">
      <c r="A41" s="1"/>
      <c r="C41" s="14"/>
      <c r="N41" s="1"/>
    </row>
    <row r="42" ht="15.75" hidden="1" customHeight="1">
      <c r="A42" s="1"/>
      <c r="C42" s="14"/>
      <c r="N42" s="1"/>
    </row>
    <row r="43" ht="15.75" hidden="1" customHeight="1">
      <c r="A43" s="1"/>
      <c r="C43" s="14"/>
      <c r="N43" s="1"/>
    </row>
    <row r="44" ht="15.75" hidden="1" customHeight="1">
      <c r="A44" s="1"/>
      <c r="C44" s="14"/>
      <c r="N44" s="1"/>
    </row>
    <row r="45" ht="15.75" hidden="1" customHeight="1">
      <c r="A45" s="1"/>
      <c r="C45" s="14"/>
      <c r="N45" s="1"/>
    </row>
    <row r="46" ht="15.75" hidden="1" customHeight="1">
      <c r="A46" s="1"/>
      <c r="C46" s="14"/>
      <c r="N46" s="1"/>
    </row>
    <row r="47" ht="15.75" hidden="1" customHeight="1">
      <c r="A47" s="1"/>
      <c r="C47" s="14"/>
      <c r="N47" s="1"/>
    </row>
    <row r="48" ht="15.75" hidden="1" customHeight="1">
      <c r="A48" s="1"/>
      <c r="C48" s="14"/>
      <c r="N48" s="1"/>
    </row>
    <row r="49" ht="15.75" hidden="1" customHeight="1">
      <c r="A49" s="1"/>
      <c r="C49" s="14"/>
      <c r="N49" s="1"/>
    </row>
    <row r="50" ht="15.75" hidden="1" customHeight="1">
      <c r="A50" s="1"/>
      <c r="C50" s="14"/>
      <c r="N50" s="1"/>
    </row>
    <row r="51" ht="15.75" hidden="1" customHeight="1">
      <c r="A51" s="1"/>
      <c r="C51" s="14"/>
      <c r="N51" s="1"/>
    </row>
    <row r="52" ht="15.75" hidden="1" customHeight="1">
      <c r="A52" s="1"/>
      <c r="C52" s="14"/>
      <c r="N52" s="1"/>
    </row>
    <row r="53" ht="15.75" hidden="1" customHeight="1">
      <c r="A53" s="1"/>
      <c r="C53" s="14"/>
      <c r="N53" s="1"/>
    </row>
    <row r="54" ht="15.75" hidden="1" customHeight="1">
      <c r="A54" s="1"/>
      <c r="C54" s="14"/>
      <c r="N54" s="1"/>
    </row>
    <row r="55" ht="15.75" hidden="1" customHeight="1">
      <c r="A55" s="1"/>
      <c r="C55" s="14"/>
      <c r="N55" s="1"/>
    </row>
    <row r="56" ht="15.75" hidden="1" customHeight="1">
      <c r="A56" s="1"/>
      <c r="C56" s="14"/>
      <c r="N56" s="1"/>
    </row>
    <row r="57" ht="15.75" hidden="1" customHeight="1">
      <c r="A57" s="1"/>
      <c r="C57" s="14"/>
      <c r="N57" s="1"/>
    </row>
    <row r="58" ht="15.75" hidden="1" customHeight="1">
      <c r="A58" s="1"/>
      <c r="C58" s="14"/>
      <c r="N58" s="1"/>
    </row>
    <row r="59" ht="15.75" hidden="1" customHeight="1">
      <c r="A59" s="1"/>
      <c r="C59" s="14"/>
      <c r="N59" s="1"/>
    </row>
    <row r="60" ht="15.75" hidden="1" customHeight="1">
      <c r="A60" s="1"/>
      <c r="C60" s="14"/>
      <c r="N60" s="1"/>
    </row>
    <row r="61" ht="15.75" hidden="1" customHeight="1">
      <c r="A61" s="1"/>
      <c r="C61" s="14"/>
      <c r="N61" s="1"/>
    </row>
    <row r="62" ht="15.75" hidden="1" customHeight="1">
      <c r="A62" s="1"/>
      <c r="C62" s="14"/>
      <c r="N62" s="1"/>
    </row>
    <row r="63" ht="15.75" hidden="1" customHeight="1">
      <c r="A63" s="1"/>
      <c r="C63" s="14"/>
      <c r="N63" s="1"/>
    </row>
    <row r="64" ht="15.75" hidden="1" customHeight="1">
      <c r="A64" s="1"/>
      <c r="C64" s="14"/>
      <c r="N64" s="1"/>
    </row>
    <row r="65" ht="15.75" hidden="1" customHeight="1">
      <c r="A65" s="1"/>
      <c r="C65" s="14"/>
      <c r="N65" s="1"/>
    </row>
    <row r="66" ht="15.75" hidden="1" customHeight="1">
      <c r="A66" s="1"/>
      <c r="C66" s="14"/>
      <c r="N66" s="1"/>
    </row>
    <row r="67" ht="15.75" hidden="1" customHeight="1">
      <c r="A67" s="1"/>
      <c r="C67" s="14"/>
      <c r="N67" s="1"/>
    </row>
    <row r="68" ht="15.75" hidden="1" customHeight="1">
      <c r="A68" s="1"/>
      <c r="C68" s="14"/>
      <c r="N68" s="1"/>
    </row>
    <row r="69" ht="15.75" hidden="1" customHeight="1">
      <c r="A69" s="1"/>
      <c r="C69" s="14"/>
      <c r="N69" s="1"/>
    </row>
    <row r="70" ht="15.75" hidden="1" customHeight="1">
      <c r="A70" s="1"/>
      <c r="C70" s="14"/>
      <c r="N70" s="1"/>
    </row>
    <row r="71" ht="15.75" hidden="1" customHeight="1">
      <c r="A71" s="1"/>
      <c r="C71" s="14"/>
      <c r="N71" s="1"/>
    </row>
    <row r="72" ht="15.75" hidden="1" customHeight="1">
      <c r="A72" s="1"/>
      <c r="C72" s="14"/>
      <c r="N72" s="1"/>
    </row>
    <row r="73" ht="15.75" hidden="1" customHeight="1">
      <c r="A73" s="1"/>
      <c r="C73" s="14"/>
      <c r="N73" s="1"/>
    </row>
    <row r="74" ht="15.75" hidden="1" customHeight="1">
      <c r="A74" s="1"/>
      <c r="C74" s="14"/>
      <c r="N74" s="1"/>
    </row>
    <row r="75" ht="15.75" hidden="1" customHeight="1">
      <c r="A75" s="1"/>
      <c r="C75" s="14"/>
      <c r="N75" s="1"/>
    </row>
    <row r="76" ht="15.75" hidden="1" customHeight="1">
      <c r="A76" s="1"/>
      <c r="C76" s="14"/>
      <c r="N76" s="1"/>
    </row>
    <row r="77" ht="15.75" hidden="1" customHeight="1">
      <c r="A77" s="1"/>
      <c r="C77" s="14"/>
      <c r="N77" s="1"/>
    </row>
    <row r="78" ht="15.75" hidden="1" customHeight="1">
      <c r="A78" s="1"/>
      <c r="C78" s="14"/>
      <c r="N78" s="1"/>
    </row>
    <row r="79" ht="15.75" hidden="1" customHeight="1">
      <c r="A79" s="1"/>
      <c r="C79" s="14"/>
      <c r="N79" s="1"/>
    </row>
    <row r="80" ht="15.75" hidden="1" customHeight="1">
      <c r="A80" s="1"/>
      <c r="C80" s="14"/>
      <c r="N80" s="1"/>
    </row>
    <row r="81" ht="15.75" hidden="1" customHeight="1">
      <c r="A81" s="1"/>
      <c r="C81" s="14"/>
      <c r="N81" s="1"/>
    </row>
    <row r="82" ht="15.75" hidden="1" customHeight="1">
      <c r="A82" s="1"/>
      <c r="C82" s="14"/>
      <c r="N82" s="1"/>
    </row>
    <row r="83" ht="15.75" hidden="1" customHeight="1">
      <c r="A83" s="1"/>
      <c r="C83" s="14"/>
      <c r="N83" s="1"/>
    </row>
    <row r="84" ht="15.75" hidden="1" customHeight="1">
      <c r="A84" s="1"/>
      <c r="C84" s="14"/>
      <c r="N84" s="1"/>
    </row>
    <row r="85" ht="15.75" hidden="1" customHeight="1">
      <c r="A85" s="1"/>
      <c r="C85" s="14"/>
      <c r="N85" s="1"/>
    </row>
    <row r="86" ht="15.75" hidden="1" customHeight="1">
      <c r="A86" s="1"/>
      <c r="C86" s="14"/>
      <c r="N86" s="1"/>
    </row>
    <row r="87" ht="15.75" hidden="1" customHeight="1">
      <c r="A87" s="1"/>
      <c r="C87" s="14"/>
      <c r="N87" s="1"/>
    </row>
    <row r="88" ht="15.75" hidden="1" customHeight="1">
      <c r="A88" s="1"/>
      <c r="C88" s="14"/>
      <c r="N88" s="1"/>
    </row>
    <row r="89" ht="15.75" hidden="1" customHeight="1">
      <c r="A89" s="1"/>
      <c r="C89" s="14"/>
      <c r="N89" s="1"/>
    </row>
    <row r="90" ht="15.75" hidden="1" customHeight="1">
      <c r="A90" s="1"/>
      <c r="C90" s="14"/>
      <c r="N90" s="1"/>
    </row>
    <row r="91" ht="15.75" hidden="1" customHeight="1">
      <c r="A91" s="1"/>
      <c r="C91" s="14"/>
      <c r="N91" s="1"/>
    </row>
    <row r="92" ht="15.75" hidden="1" customHeight="1">
      <c r="A92" s="1"/>
      <c r="C92" s="14"/>
      <c r="N92" s="1"/>
    </row>
    <row r="93" ht="15.75" hidden="1" customHeight="1">
      <c r="A93" s="1"/>
      <c r="C93" s="14"/>
      <c r="N93" s="1"/>
    </row>
    <row r="94" ht="15.75" hidden="1" customHeight="1">
      <c r="A94" s="1"/>
      <c r="C94" s="14"/>
      <c r="N94" s="1"/>
    </row>
    <row r="95" ht="15.75" hidden="1" customHeight="1">
      <c r="A95" s="1"/>
      <c r="C95" s="14"/>
      <c r="N95" s="1"/>
    </row>
    <row r="96" ht="15.75" hidden="1" customHeight="1">
      <c r="A96" s="1"/>
      <c r="C96" s="14"/>
      <c r="N96" s="1"/>
    </row>
    <row r="97" ht="15.75" hidden="1" customHeight="1">
      <c r="A97" s="1"/>
      <c r="C97" s="14"/>
      <c r="N97" s="1"/>
    </row>
    <row r="98" ht="15.75" hidden="1" customHeight="1">
      <c r="A98" s="1"/>
      <c r="C98" s="14"/>
      <c r="N98" s="1"/>
    </row>
    <row r="99" ht="15.75" hidden="1" customHeight="1">
      <c r="A99" s="1"/>
      <c r="C99" s="14"/>
      <c r="N99" s="1"/>
    </row>
    <row r="100" ht="15.75" hidden="1" customHeight="1">
      <c r="A100" s="1"/>
      <c r="C100" s="14"/>
      <c r="N100" s="1"/>
    </row>
    <row r="101" ht="15.75" hidden="1" customHeight="1">
      <c r="A101" s="1"/>
      <c r="C101" s="14"/>
      <c r="N101" s="1"/>
    </row>
    <row r="102" ht="15.75" hidden="1" customHeight="1">
      <c r="A102" s="1"/>
      <c r="C102" s="14"/>
      <c r="N102" s="1"/>
    </row>
    <row r="103" ht="15.75" hidden="1" customHeight="1">
      <c r="A103" s="1"/>
      <c r="C103" s="14"/>
      <c r="N103" s="1"/>
    </row>
    <row r="104" ht="15.75" hidden="1" customHeight="1">
      <c r="A104" s="1"/>
      <c r="C104" s="14"/>
      <c r="N104" s="1"/>
    </row>
    <row r="105" ht="15.75" hidden="1" customHeight="1">
      <c r="A105" s="1"/>
      <c r="C105" s="14"/>
      <c r="N105" s="1"/>
    </row>
    <row r="106" ht="15.75" hidden="1" customHeight="1">
      <c r="A106" s="1"/>
      <c r="C106" s="14"/>
      <c r="N106" s="1"/>
    </row>
    <row r="107" ht="15.75" hidden="1" customHeight="1">
      <c r="A107" s="1"/>
      <c r="C107" s="14"/>
      <c r="N107" s="1"/>
    </row>
    <row r="108" ht="15.75" hidden="1" customHeight="1">
      <c r="A108" s="1"/>
      <c r="C108" s="14"/>
      <c r="N108" s="1"/>
    </row>
    <row r="109" ht="15.75" hidden="1" customHeight="1">
      <c r="A109" s="1"/>
      <c r="C109" s="14"/>
      <c r="N109" s="1"/>
    </row>
    <row r="110" ht="15.75" hidden="1" customHeight="1">
      <c r="A110" s="1"/>
      <c r="C110" s="14"/>
      <c r="N110" s="1"/>
    </row>
    <row r="111" ht="15.75" hidden="1" customHeight="1">
      <c r="A111" s="1"/>
      <c r="C111" s="14"/>
      <c r="N111" s="1"/>
    </row>
    <row r="112" ht="15.75" hidden="1" customHeight="1">
      <c r="A112" s="1"/>
      <c r="C112" s="14"/>
      <c r="N112" s="1"/>
    </row>
    <row r="113" ht="15.75" hidden="1" customHeight="1">
      <c r="A113" s="1"/>
      <c r="C113" s="14"/>
      <c r="N113" s="1"/>
    </row>
    <row r="114" ht="15.75" hidden="1" customHeight="1">
      <c r="A114" s="1"/>
      <c r="C114" s="14"/>
      <c r="N114" s="1"/>
    </row>
    <row r="115" ht="15.75" hidden="1" customHeight="1">
      <c r="A115" s="1"/>
      <c r="C115" s="14"/>
      <c r="N115" s="1"/>
    </row>
    <row r="116" ht="15.75" hidden="1" customHeight="1">
      <c r="A116" s="1"/>
      <c r="C116" s="14"/>
      <c r="N116" s="1"/>
    </row>
    <row r="117" ht="15.75" hidden="1" customHeight="1">
      <c r="A117" s="1"/>
      <c r="C117" s="14"/>
      <c r="N117" s="1"/>
    </row>
    <row r="118" ht="15.75" hidden="1" customHeight="1">
      <c r="A118" s="1"/>
      <c r="C118" s="14"/>
      <c r="N118" s="1"/>
    </row>
    <row r="119" ht="15.75" hidden="1" customHeight="1">
      <c r="A119" s="1"/>
      <c r="C119" s="14"/>
      <c r="N119" s="1"/>
    </row>
    <row r="120" ht="15.75" hidden="1" customHeight="1">
      <c r="A120" s="1"/>
      <c r="C120" s="14"/>
      <c r="N120" s="1"/>
    </row>
    <row r="121" ht="15.75" hidden="1" customHeight="1">
      <c r="A121" s="1"/>
      <c r="C121" s="14"/>
      <c r="N121" s="1"/>
    </row>
    <row r="122" ht="15.75" hidden="1" customHeight="1">
      <c r="A122" s="1"/>
      <c r="C122" s="14"/>
      <c r="N122" s="1"/>
    </row>
    <row r="123" ht="15.75" hidden="1" customHeight="1">
      <c r="A123" s="1"/>
      <c r="C123" s="14"/>
      <c r="N123" s="1"/>
    </row>
    <row r="124" ht="15.75" hidden="1" customHeight="1">
      <c r="A124" s="1"/>
      <c r="C124" s="14"/>
      <c r="N124" s="1"/>
    </row>
    <row r="125" ht="15.75" hidden="1" customHeight="1">
      <c r="A125" s="1"/>
      <c r="C125" s="14"/>
      <c r="N125" s="1"/>
    </row>
    <row r="126" ht="15.75" hidden="1" customHeight="1">
      <c r="A126" s="1"/>
      <c r="C126" s="14"/>
      <c r="N126" s="1"/>
    </row>
    <row r="127" ht="15.75" hidden="1" customHeight="1">
      <c r="A127" s="1"/>
      <c r="C127" s="14"/>
      <c r="N127" s="1"/>
    </row>
    <row r="128" ht="15.75" hidden="1" customHeight="1">
      <c r="A128" s="1"/>
      <c r="C128" s="14"/>
      <c r="N128" s="1"/>
    </row>
    <row r="129" ht="15.75" hidden="1" customHeight="1">
      <c r="A129" s="1"/>
      <c r="C129" s="14"/>
      <c r="N129" s="1"/>
    </row>
    <row r="130" ht="15.75" hidden="1" customHeight="1">
      <c r="A130" s="1"/>
      <c r="C130" s="14"/>
      <c r="N130" s="1"/>
    </row>
    <row r="131" ht="15.75" hidden="1" customHeight="1">
      <c r="A131" s="1"/>
      <c r="C131" s="14"/>
      <c r="N131" s="1"/>
    </row>
    <row r="132" ht="15.75" hidden="1" customHeight="1">
      <c r="A132" s="1"/>
      <c r="C132" s="14"/>
      <c r="N132" s="1"/>
    </row>
    <row r="133" ht="15.75" hidden="1" customHeight="1">
      <c r="A133" s="1"/>
      <c r="C133" s="14"/>
      <c r="N133" s="1"/>
    </row>
    <row r="134" ht="15.75" hidden="1" customHeight="1">
      <c r="A134" s="1"/>
      <c r="C134" s="14"/>
      <c r="N134" s="1"/>
    </row>
    <row r="135" ht="15.75" hidden="1" customHeight="1">
      <c r="A135" s="1"/>
      <c r="C135" s="14"/>
      <c r="N135" s="1"/>
    </row>
    <row r="136" ht="15.75" hidden="1" customHeight="1">
      <c r="A136" s="1"/>
      <c r="C136" s="14"/>
      <c r="N136" s="1"/>
    </row>
    <row r="137" ht="15.75" hidden="1" customHeight="1">
      <c r="A137" s="1"/>
      <c r="C137" s="14"/>
      <c r="N137" s="1"/>
    </row>
    <row r="138" ht="15.75" hidden="1" customHeight="1">
      <c r="A138" s="1"/>
      <c r="C138" s="14"/>
      <c r="N138" s="1"/>
    </row>
    <row r="139" ht="15.75" hidden="1" customHeight="1">
      <c r="A139" s="1"/>
      <c r="C139" s="14"/>
      <c r="N139" s="1"/>
    </row>
    <row r="140" ht="15.75" hidden="1" customHeight="1">
      <c r="A140" s="1"/>
      <c r="C140" s="14"/>
      <c r="N140" s="1"/>
    </row>
    <row r="141" ht="15.75" hidden="1" customHeight="1">
      <c r="A141" s="1"/>
      <c r="C141" s="14"/>
      <c r="N141" s="1"/>
    </row>
    <row r="142" ht="15.75" hidden="1" customHeight="1">
      <c r="A142" s="1"/>
      <c r="C142" s="14"/>
      <c r="N142" s="1"/>
    </row>
    <row r="143" ht="15.75" hidden="1" customHeight="1">
      <c r="A143" s="1"/>
      <c r="C143" s="14"/>
      <c r="N143" s="1"/>
    </row>
    <row r="144" ht="15.75" hidden="1" customHeight="1">
      <c r="A144" s="1"/>
      <c r="C144" s="14"/>
      <c r="N144" s="1"/>
    </row>
    <row r="145" ht="15.75" hidden="1" customHeight="1">
      <c r="A145" s="1"/>
      <c r="C145" s="14"/>
      <c r="N145" s="1"/>
    </row>
    <row r="146" ht="15.75" hidden="1" customHeight="1">
      <c r="A146" s="1"/>
      <c r="C146" s="14"/>
      <c r="N146" s="1"/>
    </row>
    <row r="147" ht="15.75" hidden="1" customHeight="1">
      <c r="A147" s="1"/>
      <c r="C147" s="14"/>
      <c r="N147" s="1"/>
    </row>
    <row r="148" ht="15.75" hidden="1" customHeight="1">
      <c r="A148" s="1"/>
      <c r="C148" s="14"/>
      <c r="N148" s="1"/>
    </row>
    <row r="149" ht="15.75" hidden="1" customHeight="1">
      <c r="A149" s="1"/>
      <c r="C149" s="14"/>
      <c r="N149" s="1"/>
    </row>
    <row r="150" ht="15.75" hidden="1" customHeight="1">
      <c r="A150" s="1"/>
      <c r="C150" s="14"/>
      <c r="N150" s="1"/>
    </row>
    <row r="151" ht="15.75" hidden="1" customHeight="1">
      <c r="A151" s="1"/>
      <c r="C151" s="14"/>
      <c r="N151" s="1"/>
    </row>
    <row r="152" ht="15.75" hidden="1" customHeight="1">
      <c r="A152" s="1"/>
      <c r="C152" s="14"/>
      <c r="N152" s="1"/>
    </row>
    <row r="153" ht="15.75" hidden="1" customHeight="1">
      <c r="A153" s="1"/>
      <c r="C153" s="14"/>
      <c r="N153" s="1"/>
    </row>
    <row r="154" ht="15.75" hidden="1" customHeight="1">
      <c r="A154" s="1"/>
      <c r="C154" s="14"/>
      <c r="N154" s="1"/>
    </row>
    <row r="155" ht="15.75" hidden="1" customHeight="1">
      <c r="A155" s="1"/>
      <c r="C155" s="14"/>
      <c r="N155" s="1"/>
    </row>
    <row r="156" ht="15.75" hidden="1" customHeight="1">
      <c r="A156" s="1"/>
      <c r="C156" s="14"/>
      <c r="N156" s="1"/>
    </row>
    <row r="157" ht="15.75" hidden="1" customHeight="1">
      <c r="A157" s="1"/>
      <c r="C157" s="14"/>
      <c r="N157" s="1"/>
    </row>
    <row r="158" ht="15.75" hidden="1" customHeight="1">
      <c r="A158" s="1"/>
      <c r="C158" s="14"/>
      <c r="N158" s="1"/>
    </row>
    <row r="159" ht="15.75" hidden="1" customHeight="1">
      <c r="A159" s="1"/>
      <c r="C159" s="14"/>
      <c r="N159" s="1"/>
    </row>
    <row r="160" ht="15.75" hidden="1" customHeight="1">
      <c r="A160" s="1"/>
      <c r="C160" s="14"/>
      <c r="N160" s="1"/>
    </row>
    <row r="161" ht="15.75" hidden="1" customHeight="1">
      <c r="A161" s="1"/>
      <c r="C161" s="14"/>
      <c r="N161" s="1"/>
    </row>
    <row r="162" ht="15.75" hidden="1" customHeight="1">
      <c r="A162" s="1"/>
      <c r="C162" s="14"/>
      <c r="N162" s="1"/>
    </row>
    <row r="163" ht="15.75" hidden="1" customHeight="1">
      <c r="A163" s="1"/>
      <c r="C163" s="14"/>
      <c r="N163" s="1"/>
    </row>
    <row r="164" ht="15.75" hidden="1" customHeight="1">
      <c r="A164" s="1"/>
      <c r="C164" s="14"/>
      <c r="N164" s="1"/>
    </row>
    <row r="165" ht="15.75" hidden="1" customHeight="1">
      <c r="A165" s="1"/>
      <c r="C165" s="14"/>
      <c r="N165" s="1"/>
    </row>
    <row r="166" ht="15.75" hidden="1" customHeight="1">
      <c r="A166" s="1"/>
      <c r="C166" s="14"/>
      <c r="N166" s="1"/>
    </row>
    <row r="167" ht="15.75" hidden="1" customHeight="1">
      <c r="A167" s="1"/>
      <c r="C167" s="14"/>
      <c r="N167" s="1"/>
    </row>
    <row r="168" ht="15.75" hidden="1" customHeight="1">
      <c r="A168" s="1"/>
      <c r="C168" s="14"/>
      <c r="N168" s="1"/>
    </row>
    <row r="169" ht="15.75" hidden="1" customHeight="1">
      <c r="A169" s="1"/>
      <c r="C169" s="14"/>
      <c r="N169" s="1"/>
    </row>
    <row r="170" ht="15.75" hidden="1" customHeight="1">
      <c r="A170" s="1"/>
      <c r="C170" s="14"/>
      <c r="N170" s="1"/>
    </row>
    <row r="171" ht="15.75" hidden="1" customHeight="1">
      <c r="A171" s="1"/>
      <c r="C171" s="14"/>
      <c r="N171" s="1"/>
    </row>
    <row r="172" ht="15.75" hidden="1" customHeight="1">
      <c r="A172" s="1"/>
      <c r="C172" s="14"/>
      <c r="N172" s="1"/>
    </row>
    <row r="173" ht="15.75" hidden="1" customHeight="1">
      <c r="A173" s="1"/>
      <c r="C173" s="14"/>
      <c r="N173" s="1"/>
    </row>
    <row r="174" ht="15.75" hidden="1" customHeight="1">
      <c r="A174" s="1"/>
      <c r="C174" s="14"/>
      <c r="N174" s="1"/>
    </row>
    <row r="175" ht="15.75" hidden="1" customHeight="1">
      <c r="A175" s="1"/>
      <c r="C175" s="14"/>
      <c r="N175" s="1"/>
    </row>
    <row r="176" ht="15.75" hidden="1" customHeight="1">
      <c r="A176" s="1"/>
      <c r="C176" s="14"/>
      <c r="N176" s="1"/>
    </row>
    <row r="177" ht="15.75" hidden="1" customHeight="1">
      <c r="A177" s="1"/>
      <c r="C177" s="14"/>
      <c r="N177" s="1"/>
    </row>
    <row r="178" ht="15.75" hidden="1" customHeight="1">
      <c r="A178" s="1"/>
      <c r="C178" s="14"/>
      <c r="N178" s="1"/>
    </row>
    <row r="179" ht="15.75" hidden="1" customHeight="1">
      <c r="A179" s="1"/>
      <c r="C179" s="14"/>
      <c r="N179" s="1"/>
    </row>
    <row r="180" ht="15.75" hidden="1" customHeight="1">
      <c r="A180" s="1"/>
      <c r="C180" s="14"/>
      <c r="N180" s="1"/>
    </row>
    <row r="181" ht="15.75" hidden="1" customHeight="1">
      <c r="A181" s="1"/>
      <c r="C181" s="14"/>
      <c r="N181" s="1"/>
    </row>
    <row r="182" ht="15.75" hidden="1" customHeight="1">
      <c r="A182" s="1"/>
      <c r="C182" s="14"/>
      <c r="N182" s="1"/>
    </row>
    <row r="183" ht="15.75" hidden="1" customHeight="1">
      <c r="A183" s="1"/>
      <c r="C183" s="14"/>
      <c r="N183" s="1"/>
    </row>
    <row r="184" ht="15.75" hidden="1" customHeight="1">
      <c r="A184" s="1"/>
      <c r="C184" s="14"/>
      <c r="N184" s="1"/>
    </row>
    <row r="185" ht="15.75" hidden="1" customHeight="1">
      <c r="A185" s="1"/>
      <c r="C185" s="14"/>
      <c r="N185" s="1"/>
    </row>
    <row r="186" ht="15.75" hidden="1" customHeight="1">
      <c r="A186" s="1"/>
      <c r="C186" s="14"/>
      <c r="N186" s="1"/>
    </row>
    <row r="187" ht="15.75" hidden="1" customHeight="1">
      <c r="A187" s="1"/>
      <c r="C187" s="14"/>
      <c r="N187" s="1"/>
    </row>
    <row r="188" ht="15.75" hidden="1" customHeight="1">
      <c r="A188" s="1"/>
      <c r="C188" s="14"/>
      <c r="N188" s="1"/>
    </row>
    <row r="189" ht="15.75" hidden="1" customHeight="1">
      <c r="A189" s="1"/>
      <c r="C189" s="14"/>
      <c r="N189" s="1"/>
    </row>
    <row r="190" ht="15.75" hidden="1" customHeight="1">
      <c r="A190" s="1"/>
      <c r="C190" s="14"/>
      <c r="N190" s="1"/>
    </row>
    <row r="191" ht="15.75" hidden="1" customHeight="1">
      <c r="A191" s="1"/>
      <c r="C191" s="14"/>
      <c r="N191" s="1"/>
    </row>
    <row r="192" ht="15.75" hidden="1" customHeight="1">
      <c r="A192" s="1"/>
      <c r="C192" s="14"/>
      <c r="N192" s="1"/>
    </row>
    <row r="193" ht="15.75" hidden="1" customHeight="1">
      <c r="A193" s="1"/>
      <c r="C193" s="14"/>
      <c r="N193" s="1"/>
    </row>
    <row r="194" ht="15.75" hidden="1" customHeight="1">
      <c r="A194" s="1"/>
      <c r="C194" s="14"/>
      <c r="N194" s="1"/>
    </row>
    <row r="195" ht="15.75" hidden="1" customHeight="1">
      <c r="A195" s="1"/>
      <c r="C195" s="14"/>
      <c r="N195" s="1"/>
    </row>
    <row r="196" ht="15.75" hidden="1" customHeight="1">
      <c r="A196" s="1"/>
      <c r="C196" s="14"/>
      <c r="N196" s="1"/>
    </row>
    <row r="197" ht="15.75" hidden="1" customHeight="1">
      <c r="A197" s="1"/>
      <c r="C197" s="14"/>
      <c r="N197" s="1"/>
    </row>
    <row r="198" ht="15.75" hidden="1" customHeight="1">
      <c r="A198" s="1"/>
      <c r="C198" s="14"/>
      <c r="N198" s="1"/>
    </row>
    <row r="199" ht="15.75" hidden="1" customHeight="1">
      <c r="A199" s="1"/>
      <c r="C199" s="14"/>
      <c r="N199" s="1"/>
    </row>
    <row r="200" ht="15.75" hidden="1" customHeight="1">
      <c r="A200" s="1"/>
      <c r="C200" s="14"/>
      <c r="N200" s="1"/>
    </row>
    <row r="201" ht="15.75" hidden="1" customHeight="1">
      <c r="A201" s="1"/>
      <c r="C201" s="14"/>
      <c r="N201" s="1"/>
    </row>
    <row r="202" ht="15.75" hidden="1" customHeight="1">
      <c r="A202" s="1"/>
      <c r="C202" s="14"/>
      <c r="N202" s="1"/>
    </row>
    <row r="203" ht="15.75" hidden="1" customHeight="1">
      <c r="A203" s="1"/>
      <c r="C203" s="14"/>
      <c r="N203" s="1"/>
    </row>
    <row r="204" ht="15.75" hidden="1" customHeight="1">
      <c r="A204" s="1"/>
      <c r="C204" s="14"/>
      <c r="N204" s="1"/>
    </row>
    <row r="205" ht="15.75" hidden="1" customHeight="1">
      <c r="A205" s="1"/>
      <c r="C205" s="14"/>
      <c r="N205" s="1"/>
    </row>
    <row r="206" ht="15.75" hidden="1" customHeight="1">
      <c r="A206" s="1"/>
      <c r="C206" s="14"/>
      <c r="N206" s="1"/>
    </row>
    <row r="207" ht="15.75" hidden="1" customHeight="1">
      <c r="A207" s="1"/>
      <c r="C207" s="14"/>
      <c r="N207" s="1"/>
    </row>
    <row r="208" ht="15.75" hidden="1" customHeight="1">
      <c r="A208" s="1"/>
      <c r="C208" s="14"/>
      <c r="N208" s="1"/>
    </row>
    <row r="209" ht="15.75" hidden="1" customHeight="1">
      <c r="A209" s="1"/>
      <c r="C209" s="14"/>
      <c r="N209" s="1"/>
    </row>
    <row r="210" ht="15.75" hidden="1" customHeight="1">
      <c r="A210" s="1"/>
      <c r="C210" s="14"/>
      <c r="N210" s="1"/>
    </row>
    <row r="211" ht="15.75" hidden="1" customHeight="1">
      <c r="A211" s="1"/>
      <c r="C211" s="14"/>
      <c r="N211" s="1"/>
    </row>
    <row r="212" ht="15.75" hidden="1" customHeight="1">
      <c r="A212" s="1"/>
      <c r="C212" s="14"/>
      <c r="N212" s="1"/>
    </row>
    <row r="213" ht="15.75" hidden="1" customHeight="1">
      <c r="A213" s="1"/>
      <c r="C213" s="14"/>
      <c r="N213" s="1"/>
    </row>
    <row r="214" ht="15.75" hidden="1" customHeight="1">
      <c r="A214" s="1"/>
      <c r="C214" s="14"/>
      <c r="N214" s="1"/>
    </row>
    <row r="215" ht="15.75" hidden="1" customHeight="1">
      <c r="A215" s="1"/>
      <c r="C215" s="14"/>
      <c r="N215" s="1"/>
    </row>
    <row r="216" ht="15.75" hidden="1" customHeight="1">
      <c r="A216" s="1"/>
      <c r="C216" s="14"/>
      <c r="N216" s="1"/>
    </row>
    <row r="217" ht="15.75" hidden="1" customHeight="1">
      <c r="A217" s="1"/>
      <c r="C217" s="14"/>
      <c r="N217" s="1"/>
    </row>
    <row r="218" ht="15.75" hidden="1" customHeight="1">
      <c r="A218" s="1"/>
      <c r="C218" s="14"/>
      <c r="N218" s="1"/>
    </row>
    <row r="219" ht="15.75" hidden="1" customHeight="1">
      <c r="A219" s="1"/>
      <c r="C219" s="14"/>
      <c r="N219" s="1"/>
    </row>
    <row r="220" ht="15.75" hidden="1" customHeight="1">
      <c r="A220" s="1"/>
      <c r="C220" s="14"/>
      <c r="N220" s="1"/>
    </row>
    <row r="221" ht="15.75" hidden="1" customHeight="1">
      <c r="A221" s="1"/>
      <c r="C221" s="14"/>
      <c r="N221" s="1"/>
    </row>
    <row r="222" ht="15.75" hidden="1" customHeight="1">
      <c r="A222" s="1"/>
      <c r="C222" s="14"/>
      <c r="N222" s="1"/>
    </row>
    <row r="223" ht="15.75" hidden="1" customHeight="1">
      <c r="A223" s="1"/>
      <c r="C223" s="14"/>
      <c r="N223" s="1"/>
    </row>
    <row r="224" ht="15.75" hidden="1" customHeight="1">
      <c r="A224" s="1"/>
      <c r="C224" s="14"/>
      <c r="N224" s="1"/>
    </row>
    <row r="225" ht="15.75" hidden="1" customHeight="1">
      <c r="A225" s="1"/>
      <c r="C225" s="14"/>
      <c r="N225" s="1"/>
    </row>
    <row r="226" ht="15.75" hidden="1" customHeight="1">
      <c r="A226" s="1"/>
      <c r="C226" s="14"/>
      <c r="N226" s="1"/>
    </row>
    <row r="227" ht="15.75" hidden="1" customHeight="1">
      <c r="A227" s="1"/>
      <c r="C227" s="14"/>
      <c r="N227" s="1"/>
    </row>
    <row r="228" ht="15.75" hidden="1" customHeight="1">
      <c r="A228" s="1"/>
      <c r="C228" s="14"/>
      <c r="N228" s="1"/>
    </row>
    <row r="229" ht="15.75" hidden="1" customHeight="1">
      <c r="A229" s="1"/>
      <c r="C229" s="14"/>
      <c r="N229" s="1"/>
    </row>
    <row r="230" ht="15.75" hidden="1" customHeight="1">
      <c r="A230" s="1"/>
      <c r="C230" s="14"/>
      <c r="N230" s="1"/>
    </row>
    <row r="231" ht="15.75" hidden="1" customHeight="1">
      <c r="A231" s="1"/>
      <c r="C231" s="14"/>
      <c r="N231" s="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2:M4"/>
    <mergeCell ref="B5:M7"/>
    <mergeCell ref="B10:M12"/>
    <mergeCell ref="D14:H14"/>
    <mergeCell ref="I14:L14"/>
    <mergeCell ref="D15:H15"/>
    <mergeCell ref="I15:L15"/>
    <mergeCell ref="D16:H16"/>
    <mergeCell ref="I16:L16"/>
    <mergeCell ref="D17:H17"/>
    <mergeCell ref="I17:L17"/>
    <mergeCell ref="D18:H18"/>
    <mergeCell ref="I18:L18"/>
    <mergeCell ref="I19:L19"/>
    <mergeCell ref="D28:H28"/>
    <mergeCell ref="D29:H29"/>
    <mergeCell ref="I29:L29"/>
    <mergeCell ref="D30:H30"/>
    <mergeCell ref="I30:L30"/>
    <mergeCell ref="D31:H31"/>
    <mergeCell ref="I31:L31"/>
    <mergeCell ref="D19:H19"/>
    <mergeCell ref="B22:M24"/>
    <mergeCell ref="D26:H26"/>
    <mergeCell ref="I26:L26"/>
    <mergeCell ref="D27:H27"/>
    <mergeCell ref="I27:L27"/>
    <mergeCell ref="I28:L28"/>
  </mergeCells>
  <conditionalFormatting sqref="M15:M19 M27:M31">
    <cfRule type="containsText" dxfId="0" priority="1" operator="containsText" text="Público Criado">
      <formula>NOT(ISERROR(SEARCH(("Público Criado"),(M15))))</formula>
    </cfRule>
  </conditionalFormatting>
  <conditionalFormatting sqref="M15:M19 M27:M31">
    <cfRule type="containsText" dxfId="1" priority="2" operator="containsText" text="Público Pendente">
      <formula>NOT(ISERROR(SEARCH(("Público Pendente"),(M15))))</formula>
    </cfRule>
  </conditionalFormatting>
  <conditionalFormatting sqref="M1 M8:M9 M13:M21 M25:M1000">
    <cfRule type="containsText" dxfId="1" priority="3" operator="containsText" text="Atrasado">
      <formula>NOT(ISERROR(SEARCH(("Atrasado"),(M1))))</formula>
    </cfRule>
  </conditionalFormatting>
  <conditionalFormatting sqref="M1 M8:M9 M13:M21 M25:M1000">
    <cfRule type="containsText" dxfId="2" priority="4" operator="containsText" text="Faltam">
      <formula>NOT(ISERROR(SEARCH(("Faltam"),(M1))))</formula>
    </cfRule>
  </conditionalFormatting>
  <conditionalFormatting sqref="M1 M8:M9 M13:M21 M25:M1000">
    <cfRule type="containsText" dxfId="2" priority="5" operator="containsText" text="É pra">
      <formula>NOT(ISERROR(SEARCH(("É pra"),(M1))))</formula>
    </cfRule>
  </conditionalFormatting>
  <conditionalFormatting sqref="M1 M8:M9 M13:M21 M25:M1000">
    <cfRule type="containsText" dxfId="0" priority="6" operator="containsText" text="Atividade Concluída">
      <formula>NOT(ISERROR(SEARCH(("Atividade Concluída"),(M1))))</formula>
    </cfRule>
  </conditionalFormatting>
  <conditionalFormatting sqref="M1 M8:M9 M13:M21 M25:M1000">
    <cfRule type="containsText" dxfId="3" priority="7" operator="containsText" text="Pendente">
      <formula>NOT(ISERROR(SEARCH(("Pendente"),(M1))))</formula>
    </cfRule>
  </conditionalFormatting>
  <drawing r:id="rId1"/>
</worksheet>
</file>